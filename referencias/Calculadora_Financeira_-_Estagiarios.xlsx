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mc:AlternateContent xmlns:mc="http://schemas.openxmlformats.org/markup-compatibility/2006">
    <mc:Choice Requires="x15">
      <x15ac:absPath xmlns:x15ac="http://schemas.microsoft.com/office/spreadsheetml/2010/11/ac" url="https://senadofederal.sharepoint.com/sites/SGESTsalas13e14/Documentos Compartilhados/General/GESTÃO (2025)/ESTAGIÁRIOS CIEE/"/>
    </mc:Choice>
  </mc:AlternateContent>
  <xr:revisionPtr revIDLastSave="0" documentId="8_{642F722D-415A-47BF-A759-16770377E005}" xr6:coauthVersionLast="47" xr6:coauthVersionMax="47" xr10:uidLastSave="{00000000-0000-0000-0000-000000000000}"/>
  <bookViews>
    <workbookView xWindow="23880" yWindow="-120" windowWidth="21840" windowHeight="13140" firstSheet="1" activeTab="1" xr2:uid="{F6CBB4CC-A89D-4590-9E60-AC0B165C0DDA}"/>
  </bookViews>
  <sheets>
    <sheet name="0. Instruções" sheetId="8" r:id="rId1"/>
    <sheet name="1. Painel" sheetId="2" r:id="rId2"/>
    <sheet name="2. Calculadora de Pagamentos" sheetId="7" r:id="rId3"/>
    <sheet name="Validação de Dados" sheetId="4" state="hidden" r:id="rId4"/>
    <sheet name="Feriados e Ptos Fac. Senado"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 i="2" l="1"/>
  <c r="F16" i="2"/>
  <c r="F15" i="2"/>
  <c r="F13" i="2"/>
  <c r="I13" i="7"/>
  <c r="I14" i="7"/>
  <c r="I11" i="7"/>
  <c r="N11" i="7"/>
  <c r="N13" i="7"/>
  <c r="N8" i="7"/>
  <c r="N7" i="7"/>
  <c r="I5" i="7"/>
  <c r="I7" i="7"/>
  <c r="N5" i="7"/>
  <c r="H13" i="5"/>
  <c r="H12" i="5"/>
  <c r="H11" i="5"/>
  <c r="D12" i="4"/>
  <c r="H10" i="5"/>
  <c r="H9" i="5"/>
  <c r="H8" i="5"/>
  <c r="H7" i="5"/>
  <c r="D8" i="4"/>
  <c r="H6" i="5"/>
  <c r="H5" i="5"/>
  <c r="H4" i="5"/>
  <c r="H3" i="5"/>
  <c r="D4" i="4"/>
  <c r="J7" i="2"/>
  <c r="D23" i="7"/>
  <c r="H2" i="5"/>
  <c r="D5" i="4"/>
  <c r="D6" i="4"/>
  <c r="D7" i="4"/>
  <c r="D9" i="4"/>
  <c r="D10" i="4"/>
  <c r="D11" i="4"/>
  <c r="D13" i="4"/>
  <c r="D14" i="4"/>
  <c r="D3" i="4"/>
  <c r="J8" i="2"/>
  <c r="G2" i="4"/>
  <c r="G3" i="4"/>
  <c r="H2" i="4"/>
  <c r="J20" i="2"/>
  <c r="D6" i="7"/>
  <c r="D8" i="7"/>
  <c r="D5" i="7"/>
  <c r="D7" i="7"/>
  <c r="I12" i="7"/>
  <c r="I6" i="7"/>
  <c r="I17" i="7"/>
  <c r="I8" i="7"/>
  <c r="I18" i="7"/>
  <c r="H3" i="4"/>
  <c r="I12" i="2"/>
  <c r="D13" i="7"/>
  <c r="D11" i="7"/>
  <c r="D12" i="7"/>
  <c r="D14" i="7"/>
  <c r="I15" i="2"/>
  <c r="I11" i="2"/>
  <c r="I22" i="7"/>
  <c r="J21" i="2"/>
  <c r="I23" i="7"/>
  <c r="J22" i="2"/>
  <c r="I19" i="7"/>
  <c r="J23" i="2"/>
  <c r="I24" i="7"/>
</calcChain>
</file>

<file path=xl/sharedStrings.xml><?xml version="1.0" encoding="utf-8"?>
<sst xmlns="http://schemas.openxmlformats.org/spreadsheetml/2006/main" count="65" uniqueCount="59">
  <si>
    <t>Bem-vindo(a) à Planilha de Simulação de Remuneração de Estágio do Senado Federal!</t>
  </si>
  <si>
    <t>Objetivo</t>
  </si>
  <si>
    <r>
      <t xml:space="preserve">Esta planilha foi desenvolvida para ajudar você, estagiário(a), a ter uma estimativa da sua remuneração mensal, composta pela </t>
    </r>
    <r>
      <rPr>
        <b/>
        <sz val="11"/>
        <color rgb="FF1B1C1D"/>
        <rFont val="Aptos Narrow"/>
        <family val="2"/>
        <scheme val="minor"/>
      </rPr>
      <t>Bolsa de Estágio</t>
    </r>
    <r>
      <rPr>
        <sz val="11"/>
        <color rgb="FF1B1C1D"/>
        <rFont val="Aptos Narrow"/>
        <family val="2"/>
        <scheme val="minor"/>
      </rPr>
      <t xml:space="preserve"> e pelo </t>
    </r>
    <r>
      <rPr>
        <b/>
        <sz val="11"/>
        <color rgb="FF1B1C1D"/>
        <rFont val="Aptos Narrow"/>
        <family val="2"/>
        <scheme val="minor"/>
      </rPr>
      <t>Auxílio-Transporte</t>
    </r>
    <r>
      <rPr>
        <sz val="11"/>
        <color rgb="FF1B1C1D"/>
        <rFont val="Aptos Narrow"/>
        <family val="2"/>
        <scheme val="minor"/>
      </rPr>
      <t>. Lembre-se de que este é um cálculo aproximado e os valores finais são sempre processados oficialmente pelo agente integrador (como o CIEE) com base nas informações fornecidas pelo Serviço de Gestão de Estágios (SGEST) do Senado.</t>
    </r>
  </si>
  <si>
    <t>Infos Geras</t>
  </si>
  <si>
    <t>Os valores base para o cálculo (valor mensal da Bolsa de Estágio e valor diário do Auxílio-Transporte) são definidos pelo Senado e estão configurados em uma base de dados interna desta planilha.</t>
  </si>
  <si>
    <t>A lista de feriados e pontos facultativos utilizada para o cálculo do Auxílio-Transporte é a oficial do Senado Federal e também está configurada internamente.</t>
  </si>
  <si>
    <t>Preencha somente  as células indicadas abaixo:</t>
  </si>
  <si>
    <r>
      <t xml:space="preserve"> No campo </t>
    </r>
    <r>
      <rPr>
        <b/>
        <sz val="11"/>
        <color theme="1"/>
        <rFont val="Aptos Narrow"/>
        <family val="2"/>
        <scheme val="minor"/>
      </rPr>
      <t>"Coloque a data em que você entrou no senado"</t>
    </r>
    <r>
      <rPr>
        <sz val="11"/>
        <color theme="1"/>
        <rFont val="Aptos Narrow"/>
        <family val="2"/>
        <scheme val="minor"/>
      </rPr>
      <t xml:space="preserve"> (célula J5 na aba "1.Painel"):
Clique na célula e selecione na lista suspensa o seu mês de entrada no Senado. (Ex. "05/11/2024")</t>
    </r>
  </si>
  <si>
    <r>
      <t xml:space="preserve">No campo </t>
    </r>
    <r>
      <rPr>
        <b/>
        <sz val="11"/>
        <color theme="1"/>
        <rFont val="Aptos Narrow"/>
        <family val="2"/>
        <scheme val="minor"/>
      </rPr>
      <t>"Mês do pagamento"</t>
    </r>
    <r>
      <rPr>
        <sz val="11"/>
        <color theme="1"/>
        <rFont val="Aptos Narrow"/>
        <family val="2"/>
        <scheme val="minor"/>
      </rPr>
      <t xml:space="preserve"> (célula J6 na aba "1.Painel"):
Clique na célula e selecione na lista suspensa o mês para o qual você deseja a estimativa. (Ex: "Julho - 2025").</t>
    </r>
  </si>
  <si>
    <r>
      <rPr>
        <b/>
        <sz val="11"/>
        <color rgb="FF000000"/>
        <rFont val="Aptos Narrow"/>
        <scheme val="minor"/>
      </rPr>
      <t>"Quantos dias você não veio presencialmente ao Senado?"</t>
    </r>
    <r>
      <rPr>
        <sz val="11"/>
        <color rgb="FF000000"/>
        <rFont val="Aptos Narrow"/>
        <scheme val="minor"/>
      </rPr>
      <t xml:space="preserve"> - </t>
    </r>
    <r>
      <rPr>
        <b/>
        <sz val="11"/>
        <color rgb="FF000000"/>
        <rFont val="Aptos Narrow"/>
        <scheme val="minor"/>
      </rPr>
      <t>Mês anterior</t>
    </r>
    <r>
      <rPr>
        <sz val="11"/>
        <color rgb="FF000000"/>
        <rFont val="Aptos Narrow"/>
        <scheme val="minor"/>
      </rPr>
      <t>" (célula J12): Preencha conforme suas ausências do mês anterior. Caso você tenha iniciado seu estágio no mesmo mês do pagamento, deixe em branco ou coloque 0. Caso seja seu segundo mês ou posterior e não haja qualquer tipo de ausência, coloque 0.</t>
    </r>
  </si>
  <si>
    <r>
      <rPr>
        <b/>
        <sz val="11"/>
        <color rgb="FF000000"/>
        <rFont val="Aptos Narrow"/>
        <scheme val="minor"/>
      </rPr>
      <t>"Desses dias, quantos foram faltas injustificadas?"</t>
    </r>
    <r>
      <rPr>
        <sz val="11"/>
        <color rgb="FF000000"/>
        <rFont val="Aptos Narrow"/>
        <scheme val="minor"/>
      </rPr>
      <t xml:space="preserve"> - Mês anterior" (célula J15): Preencha conforme suas faltas injustificadas do mês anterior. Caso você tenha iniciado seu estágio no mesmo mês do pagamento, deixe em branco ou coloque 0. Caso seja seu segundo mês ou posterior e não haja qualquer tipo de ausência, coloque 0.</t>
    </r>
  </si>
  <si>
    <t>Painel de Simulação de Bolsa Estágio</t>
  </si>
  <si>
    <t>OBS. Preencha somente as células cinzas!</t>
  </si>
  <si>
    <t>1. Passo - Configuração das datas e dias</t>
  </si>
  <si>
    <t>Coloque a data em que você entrou no senado -&gt;</t>
  </si>
  <si>
    <r>
      <rPr>
        <b/>
        <sz val="11"/>
        <color rgb="FF000000"/>
        <rFont val="Aptos Narrow"/>
      </rPr>
      <t>Obs:</t>
    </r>
    <r>
      <rPr>
        <sz val="11"/>
        <color rgb="FF000000"/>
        <rFont val="Aptos Narrow"/>
      </rPr>
      <t xml:space="preserve"> O valor referido ao "Mês de Pagamento" sempre é pago no 5º dia útil do próximo mês.</t>
    </r>
  </si>
  <si>
    <t>Mês do Pagamento</t>
  </si>
  <si>
    <t>Dias Úteis (Mês Atual)</t>
  </si>
  <si>
    <t>Dias Úteis (Mês Anterior)</t>
  </si>
  <si>
    <t>Valor Bolsa</t>
  </si>
  <si>
    <t>Valor Bolsa (Diário)</t>
  </si>
  <si>
    <t>Valor AT (Diário)</t>
  </si>
  <si>
    <t>Data Inicio - Pagamento</t>
  </si>
  <si>
    <t>Data Fim - Pagamento</t>
  </si>
  <si>
    <t>Valor total do Mês</t>
  </si>
  <si>
    <t>Descontos da Bolsa</t>
  </si>
  <si>
    <t>Descontos de Auxílio Transporte</t>
  </si>
  <si>
    <t>Valor Estimado a receber</t>
  </si>
  <si>
    <t>Calculadora de Pagamentos Detalhada - Estagiários</t>
  </si>
  <si>
    <t>Descontos dos Entrantes</t>
  </si>
  <si>
    <t>Descontos o mês anterior</t>
  </si>
  <si>
    <t>Data Início Estagio</t>
  </si>
  <si>
    <t>Data Final Estagio</t>
  </si>
  <si>
    <t>Descontos Totais</t>
  </si>
  <si>
    <t>Total de Descontos (Bolsa)</t>
  </si>
  <si>
    <t>Total de Descontos (AT)</t>
  </si>
  <si>
    <t>Total de Descontos (GERAL)</t>
  </si>
  <si>
    <t>Recebimentos</t>
  </si>
  <si>
    <t>Valor a Receber (Bolsa)</t>
  </si>
  <si>
    <t>Total a Receber</t>
  </si>
  <si>
    <t>Lista Dias_Meses</t>
  </si>
  <si>
    <t>Lista Meses</t>
  </si>
  <si>
    <t xml:space="preserve">Dias úteis </t>
  </si>
  <si>
    <t>Mês de Pagamento</t>
  </si>
  <si>
    <t>Janeiro</t>
  </si>
  <si>
    <t>Mês Anterior</t>
  </si>
  <si>
    <t>Fevereiro</t>
  </si>
  <si>
    <t>Março</t>
  </si>
  <si>
    <t>Abril</t>
  </si>
  <si>
    <t>Maio</t>
  </si>
  <si>
    <t>Junho</t>
  </si>
  <si>
    <t>Julho</t>
  </si>
  <si>
    <t>Agosto</t>
  </si>
  <si>
    <t>Setembro</t>
  </si>
  <si>
    <t>Outubro</t>
  </si>
  <si>
    <t>Novembro</t>
  </si>
  <si>
    <t>Dezembro</t>
  </si>
  <si>
    <t>Meses</t>
  </si>
  <si>
    <t>Feriados e Pontos Facultativos em dias úteis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</si>
</sst>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R$&quot;* #,##0.00_-;\-&quot;R$&quot;* #,##0.00_-;_-&quot;R$&quot;* &quot;-&quot;??_-;_-@_-"/>
    <numFmt numFmtId="165" formatCode="mmmm/yy"/>
    <numFmt numFmtId="166" formatCode="[$-416]mmmm\-yy;@"/>
  </numFmts>
  <fonts count="21">
    <font>
      <sz val="11"/>
      <color theme="1"/>
      <name val="Aptos Narrow"/>
      <family val="2"/>
      <scheme val="minor"/>
    </font>
    <font>
      <sz val="11"/>
      <color theme="1"/>
      <name val="Aptos Narrow"/>
      <family val="2"/>
      <scheme val="minor"/>
    </font>
    <font>
      <b/>
      <sz val="11"/>
      <color theme="1"/>
      <name val="Aptos Narrow"/>
      <family val="2"/>
      <scheme val="minor"/>
    </font>
    <font>
      <b/>
      <sz val="11"/>
      <color rgb="FFFF0000"/>
      <name val="Aptos Narrow"/>
      <family val="2"/>
      <scheme val="minor"/>
    </font>
    <font>
      <sz val="18"/>
      <color theme="1"/>
      <name val="Aptos Narrow"/>
      <family val="2"/>
      <scheme val="minor"/>
    </font>
    <font>
      <b/>
      <sz val="12"/>
      <color theme="1"/>
      <name val="Aptos Narrow"/>
      <family val="2"/>
      <scheme val="minor"/>
    </font>
    <font>
      <b/>
      <sz val="11"/>
      <name val="Aptos Narrow"/>
      <family val="2"/>
      <scheme val="minor"/>
    </font>
    <font>
      <b/>
      <sz val="12"/>
      <name val="Aptos Narrow"/>
      <family val="2"/>
      <scheme val="minor"/>
    </font>
    <font>
      <b/>
      <sz val="18"/>
      <name val="Aptos Narrow"/>
      <family val="2"/>
      <scheme val="minor"/>
    </font>
    <font>
      <b/>
      <sz val="18"/>
      <color theme="1"/>
      <name val="Aptos Narrow"/>
      <family val="2"/>
      <scheme val="minor"/>
    </font>
    <font>
      <b/>
      <sz val="12"/>
      <color rgb="FF1B1C1D"/>
      <name val="Aptos Narrow"/>
      <family val="2"/>
    </font>
    <font>
      <sz val="12"/>
      <color rgb="FF1B1C1D"/>
      <name val="Aptos Narrow"/>
      <family val="2"/>
    </font>
    <font>
      <b/>
      <sz val="11"/>
      <color rgb="FF1B1C1D"/>
      <name val="Aptos Narrow"/>
      <family val="2"/>
      <scheme val="minor"/>
    </font>
    <font>
      <sz val="11"/>
      <color rgb="FF1B1C1D"/>
      <name val="Aptos Narrow"/>
      <family val="2"/>
      <scheme val="minor"/>
    </font>
    <font>
      <b/>
      <sz val="12"/>
      <color theme="1"/>
      <name val="Aptos Narrow"/>
      <family val="2"/>
    </font>
    <font>
      <b/>
      <sz val="20"/>
      <color rgb="FFFF0000"/>
      <name val="Aptos Narrow"/>
      <family val="2"/>
      <scheme val="minor"/>
    </font>
    <font>
      <b/>
      <sz val="11"/>
      <color theme="0"/>
      <name val="Aptos Narrow"/>
      <family val="2"/>
      <scheme val="minor"/>
    </font>
    <font>
      <b/>
      <sz val="11"/>
      <color rgb="FF000000"/>
      <name val="Aptos Narrow"/>
      <scheme val="minor"/>
    </font>
    <font>
      <sz val="11"/>
      <color rgb="FF000000"/>
      <name val="Aptos Narrow"/>
      <scheme val="minor"/>
    </font>
    <font>
      <b/>
      <sz val="11"/>
      <color rgb="FF000000"/>
      <name val="Aptos Narrow"/>
    </font>
    <font>
      <sz val="11"/>
      <color rgb="FF000000"/>
      <name val="Aptos Narrow"/>
    </font>
  </fonts>
  <fills count="10">
    <fill>
      <patternFill patternType="none"/>
    </fill>
    <fill>
      <patternFill patternType="gray125"/>
    </fill>
    <fill>
      <patternFill patternType="solid">
        <fgColor theme="5" tint="0.59999389629810485"/>
        <bgColor indexed="64"/>
      </patternFill>
    </fill>
    <fill>
      <patternFill patternType="solid">
        <fgColor theme="5"/>
        <bgColor indexed="64"/>
      </patternFill>
    </fill>
    <fill>
      <patternFill patternType="solid">
        <fgColor theme="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DD3A0D"/>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theme="4" tint="-0.249977111117893"/>
      </left>
      <right/>
      <top style="medium">
        <color theme="4" tint="-0.249977111117893"/>
      </top>
      <bottom/>
      <diagonal/>
    </border>
    <border>
      <left/>
      <right/>
      <top style="medium">
        <color theme="4" tint="-0.249977111117893"/>
      </top>
      <bottom/>
      <diagonal/>
    </border>
    <border>
      <left/>
      <right style="medium">
        <color theme="4" tint="-0.249977111117893"/>
      </right>
      <top style="medium">
        <color theme="4" tint="-0.249977111117893"/>
      </top>
      <bottom/>
      <diagonal/>
    </border>
    <border>
      <left style="medium">
        <color theme="4" tint="-0.249977111117893"/>
      </left>
      <right/>
      <top/>
      <bottom/>
      <diagonal/>
    </border>
    <border>
      <left/>
      <right style="medium">
        <color theme="4" tint="-0.249977111117893"/>
      </right>
      <top/>
      <bottom/>
      <diagonal/>
    </border>
    <border>
      <left style="medium">
        <color theme="4" tint="-0.249977111117893"/>
      </left>
      <right/>
      <top/>
      <bottom style="medium">
        <color theme="4" tint="-0.249977111117893"/>
      </bottom>
      <diagonal/>
    </border>
    <border>
      <left/>
      <right/>
      <top/>
      <bottom style="medium">
        <color theme="4" tint="-0.249977111117893"/>
      </bottom>
      <diagonal/>
    </border>
    <border>
      <left/>
      <right style="medium">
        <color theme="4" tint="-0.249977111117893"/>
      </right>
      <top/>
      <bottom style="medium">
        <color theme="4" tint="-0.249977111117893"/>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164" fontId="1" fillId="0" borderId="0" applyFont="0" applyFill="0" applyBorder="0" applyAlignment="0" applyProtection="0"/>
  </cellStyleXfs>
  <cellXfs count="117">
    <xf numFmtId="0" fontId="0" fillId="0" borderId="0" xfId="0"/>
    <xf numFmtId="0" fontId="0" fillId="4" borderId="0" xfId="0" applyFill="1" applyAlignment="1">
      <alignment horizontal="center" vertical="center"/>
    </xf>
    <xf numFmtId="0" fontId="2" fillId="7" borderId="4" xfId="0" applyFont="1" applyFill="1" applyBorder="1" applyAlignment="1">
      <alignment horizontal="center" vertical="center"/>
    </xf>
    <xf numFmtId="0" fontId="2" fillId="7" borderId="5" xfId="0" applyFont="1" applyFill="1" applyBorder="1" applyAlignment="1">
      <alignment horizontal="center" vertical="center"/>
    </xf>
    <xf numFmtId="0" fontId="2" fillId="7" borderId="6" xfId="0" applyFont="1" applyFill="1" applyBorder="1" applyAlignment="1">
      <alignment horizontal="center" vertical="center"/>
    </xf>
    <xf numFmtId="0" fontId="2" fillId="7" borderId="7" xfId="0" applyFont="1" applyFill="1" applyBorder="1" applyAlignment="1">
      <alignment horizontal="center" vertical="center"/>
    </xf>
    <xf numFmtId="14" fontId="0" fillId="4" borderId="8" xfId="0" applyNumberFormat="1" applyFill="1" applyBorder="1" applyAlignment="1">
      <alignment horizontal="center" vertical="center"/>
    </xf>
    <xf numFmtId="0" fontId="0" fillId="4" borderId="9" xfId="0" applyFill="1" applyBorder="1" applyAlignment="1">
      <alignment horizontal="center" vertical="center"/>
    </xf>
    <xf numFmtId="165" fontId="0" fillId="4" borderId="3" xfId="0" applyNumberFormat="1" applyFill="1" applyBorder="1" applyAlignment="1">
      <alignment horizontal="center" vertical="center"/>
    </xf>
    <xf numFmtId="0" fontId="0" fillId="4" borderId="3" xfId="0" applyFill="1" applyBorder="1" applyAlignment="1">
      <alignment horizontal="center" vertical="center"/>
    </xf>
    <xf numFmtId="0" fontId="2" fillId="7" borderId="10" xfId="0" applyFont="1" applyFill="1" applyBorder="1" applyAlignment="1">
      <alignment horizontal="center" vertical="center"/>
    </xf>
    <xf numFmtId="14" fontId="0" fillId="4" borderId="11" xfId="0" applyNumberFormat="1" applyFill="1" applyBorder="1" applyAlignment="1">
      <alignment horizontal="center" vertical="center"/>
    </xf>
    <xf numFmtId="0" fontId="0" fillId="4" borderId="12" xfId="0" applyFill="1" applyBorder="1" applyAlignment="1">
      <alignment horizontal="center" vertical="center"/>
    </xf>
    <xf numFmtId="165" fontId="0" fillId="4" borderId="1" xfId="0" applyNumberFormat="1" applyFill="1" applyBorder="1" applyAlignment="1">
      <alignment horizontal="center" vertical="center"/>
    </xf>
    <xf numFmtId="0" fontId="0" fillId="4" borderId="1" xfId="0" applyFill="1" applyBorder="1" applyAlignment="1">
      <alignment horizontal="center" vertical="center"/>
    </xf>
    <xf numFmtId="0" fontId="2" fillId="6" borderId="4" xfId="0" applyFont="1" applyFill="1" applyBorder="1" applyAlignment="1">
      <alignment horizontal="center" vertical="center"/>
    </xf>
    <xf numFmtId="0" fontId="2" fillId="6" borderId="6" xfId="0" applyFont="1" applyFill="1" applyBorder="1" applyAlignment="1">
      <alignment horizontal="center" vertical="center"/>
    </xf>
    <xf numFmtId="0" fontId="0" fillId="4" borderId="0" xfId="0" applyFill="1" applyAlignment="1">
      <alignment vertical="center"/>
    </xf>
    <xf numFmtId="166" fontId="2" fillId="5" borderId="3" xfId="0" applyNumberFormat="1" applyFont="1" applyFill="1" applyBorder="1" applyAlignment="1">
      <alignment horizontal="center" vertical="center"/>
    </xf>
    <xf numFmtId="14" fontId="0" fillId="4" borderId="3" xfId="0" applyNumberFormat="1" applyFill="1" applyBorder="1" applyAlignment="1">
      <alignment horizontal="center" vertical="center"/>
    </xf>
    <xf numFmtId="166" fontId="2" fillId="5" borderId="1" xfId="0" applyNumberFormat="1" applyFont="1" applyFill="1" applyBorder="1" applyAlignment="1">
      <alignment horizontal="center" vertical="center"/>
    </xf>
    <xf numFmtId="14" fontId="0" fillId="4" borderId="1" xfId="0" applyNumberFormat="1" applyFill="1" applyBorder="1" applyAlignment="1">
      <alignment horizontal="center" vertical="center"/>
    </xf>
    <xf numFmtId="0" fontId="0" fillId="4" borderId="0" xfId="0" applyFill="1"/>
    <xf numFmtId="0" fontId="0" fillId="4" borderId="0" xfId="0" applyFill="1" applyAlignment="1">
      <alignment wrapText="1"/>
    </xf>
    <xf numFmtId="0" fontId="0" fillId="8" borderId="19" xfId="0" applyFill="1" applyBorder="1" applyAlignment="1">
      <alignment vertical="center"/>
    </xf>
    <xf numFmtId="0" fontId="0" fillId="8" borderId="0" xfId="0" applyFill="1" applyAlignment="1">
      <alignment vertical="center"/>
    </xf>
    <xf numFmtId="0" fontId="0" fillId="8" borderId="20" xfId="0" applyFill="1" applyBorder="1" applyAlignment="1">
      <alignment vertical="center"/>
    </xf>
    <xf numFmtId="0" fontId="0" fillId="4" borderId="0" xfId="0" applyFill="1" applyAlignment="1">
      <alignment vertical="center" wrapText="1"/>
    </xf>
    <xf numFmtId="0" fontId="10" fillId="4" borderId="0" xfId="0" applyFont="1" applyFill="1" applyAlignment="1">
      <alignment vertical="center"/>
    </xf>
    <xf numFmtId="0" fontId="14" fillId="4" borderId="0" xfId="0" applyFont="1" applyFill="1"/>
    <xf numFmtId="0" fontId="5" fillId="4" borderId="0" xfId="0" applyFont="1" applyFill="1"/>
    <xf numFmtId="1" fontId="0" fillId="4" borderId="0" xfId="1" applyNumberFormat="1" applyFont="1" applyFill="1" applyAlignment="1" applyProtection="1">
      <alignment horizontal="center"/>
    </xf>
    <xf numFmtId="14" fontId="0" fillId="8" borderId="1" xfId="0" applyNumberFormat="1" applyFill="1" applyBorder="1" applyAlignment="1" applyProtection="1">
      <alignment horizontal="center"/>
      <protection locked="0"/>
    </xf>
    <xf numFmtId="165" fontId="0" fillId="8" borderId="1" xfId="0" applyNumberFormat="1" applyFill="1" applyBorder="1" applyAlignment="1" applyProtection="1">
      <alignment horizontal="center"/>
      <protection locked="0"/>
    </xf>
    <xf numFmtId="0" fontId="2" fillId="5" borderId="1" xfId="0" applyFont="1" applyFill="1" applyBorder="1"/>
    <xf numFmtId="0" fontId="0" fillId="4" borderId="1" xfId="0" applyFill="1" applyBorder="1" applyAlignment="1">
      <alignment horizontal="center"/>
    </xf>
    <xf numFmtId="0" fontId="2" fillId="7" borderId="1" xfId="0" applyFont="1" applyFill="1" applyBorder="1"/>
    <xf numFmtId="164" fontId="2" fillId="4" borderId="1" xfId="0" applyNumberFormat="1" applyFont="1" applyFill="1" applyBorder="1"/>
    <xf numFmtId="0" fontId="2" fillId="2" borderId="1" xfId="0" applyFont="1" applyFill="1" applyBorder="1"/>
    <xf numFmtId="164" fontId="3" fillId="4" borderId="1" xfId="0" applyNumberFormat="1" applyFont="1" applyFill="1" applyBorder="1"/>
    <xf numFmtId="0" fontId="8" fillId="4" borderId="0" xfId="0" applyFont="1" applyFill="1" applyAlignment="1">
      <alignment vertical="center"/>
    </xf>
    <xf numFmtId="0" fontId="6" fillId="4" borderId="0" xfId="0" applyFont="1" applyFill="1" applyAlignment="1">
      <alignment horizontal="center" vertical="center"/>
    </xf>
    <xf numFmtId="0" fontId="6" fillId="4" borderId="1" xfId="0" applyFont="1" applyFill="1" applyBorder="1" applyAlignment="1">
      <alignment horizontal="center" vertical="center"/>
    </xf>
    <xf numFmtId="164" fontId="6" fillId="4" borderId="1" xfId="1" applyFont="1" applyFill="1" applyBorder="1" applyAlignment="1" applyProtection="1">
      <alignment horizontal="center" vertical="center"/>
    </xf>
    <xf numFmtId="1" fontId="6" fillId="4" borderId="1" xfId="1" applyNumberFormat="1" applyFont="1" applyFill="1" applyBorder="1" applyAlignment="1" applyProtection="1">
      <alignment horizontal="center" vertical="center"/>
    </xf>
    <xf numFmtId="164" fontId="6" fillId="4" borderId="1" xfId="1" applyFont="1" applyFill="1" applyBorder="1" applyAlignment="1" applyProtection="1">
      <alignment vertical="center"/>
    </xf>
    <xf numFmtId="14" fontId="6" fillId="4" borderId="1" xfId="0" applyNumberFormat="1" applyFont="1" applyFill="1" applyBorder="1" applyAlignment="1">
      <alignment horizontal="center" vertical="center"/>
    </xf>
    <xf numFmtId="164" fontId="6" fillId="4" borderId="0" xfId="1" applyFont="1" applyFill="1" applyBorder="1" applyAlignment="1" applyProtection="1">
      <alignment horizontal="center" vertical="center"/>
    </xf>
    <xf numFmtId="1" fontId="6" fillId="4" borderId="0" xfId="0" applyNumberFormat="1" applyFont="1" applyFill="1" applyAlignment="1">
      <alignment horizontal="center" vertical="center"/>
    </xf>
    <xf numFmtId="1" fontId="6" fillId="4" borderId="0" xfId="0" applyNumberFormat="1" applyFont="1" applyFill="1" applyAlignment="1">
      <alignment vertical="center"/>
    </xf>
    <xf numFmtId="14" fontId="6" fillId="4" borderId="13" xfId="0" applyNumberFormat="1" applyFont="1" applyFill="1" applyBorder="1" applyAlignment="1">
      <alignment horizontal="center" vertical="center"/>
    </xf>
    <xf numFmtId="0" fontId="6" fillId="4" borderId="0" xfId="0" applyFont="1" applyFill="1" applyAlignment="1">
      <alignment vertical="center"/>
    </xf>
    <xf numFmtId="164" fontId="6" fillId="4" borderId="1" xfId="0" applyNumberFormat="1" applyFont="1" applyFill="1" applyBorder="1" applyAlignment="1">
      <alignment vertical="center"/>
    </xf>
    <xf numFmtId="14" fontId="16" fillId="4" borderId="0" xfId="0" applyNumberFormat="1" applyFont="1" applyFill="1" applyAlignment="1">
      <alignment horizontal="center" vertical="center"/>
    </xf>
    <xf numFmtId="0" fontId="18" fillId="4" borderId="0" xfId="0" applyFont="1" applyFill="1"/>
    <xf numFmtId="0" fontId="20" fillId="4" borderId="24" xfId="0" applyFont="1" applyFill="1" applyBorder="1" applyAlignment="1">
      <alignment horizontal="center" wrapText="1"/>
    </xf>
    <xf numFmtId="0" fontId="0" fillId="4" borderId="24" xfId="0" applyFill="1" applyBorder="1" applyAlignment="1">
      <alignment horizontal="center" wrapText="1"/>
    </xf>
    <xf numFmtId="0" fontId="6" fillId="4"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0" fillId="8" borderId="25" xfId="0" applyFill="1" applyBorder="1" applyAlignment="1" applyProtection="1">
      <alignment horizontal="center" vertical="center"/>
      <protection locked="0"/>
    </xf>
    <xf numFmtId="0" fontId="0" fillId="8" borderId="26" xfId="0" applyFill="1" applyBorder="1" applyAlignment="1" applyProtection="1">
      <alignment horizontal="center" vertical="center"/>
      <protection locked="0"/>
    </xf>
    <xf numFmtId="0" fontId="0" fillId="8" borderId="3" xfId="0" applyFill="1" applyBorder="1" applyAlignment="1" applyProtection="1">
      <alignment horizontal="center" vertical="center"/>
      <protection locked="0"/>
    </xf>
    <xf numFmtId="14" fontId="6" fillId="4" borderId="1" xfId="0" applyNumberFormat="1" applyFont="1" applyFill="1" applyBorder="1" applyAlignment="1">
      <alignment horizontal="center" vertical="center"/>
    </xf>
    <xf numFmtId="0" fontId="9" fillId="4" borderId="0" xfId="0" applyFont="1" applyFill="1" applyAlignment="1">
      <alignment horizontal="center" vertical="center"/>
    </xf>
    <xf numFmtId="0" fontId="15" fillId="4" borderId="16"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15" fillId="4" borderId="18" xfId="0" applyFont="1" applyFill="1" applyBorder="1" applyAlignment="1">
      <alignment horizontal="center" vertical="center" wrapText="1"/>
    </xf>
    <xf numFmtId="0" fontId="15" fillId="4" borderId="19" xfId="0" applyFont="1" applyFill="1" applyBorder="1" applyAlignment="1">
      <alignment horizontal="center" vertical="center" wrapText="1"/>
    </xf>
    <xf numFmtId="0" fontId="15" fillId="4" borderId="0" xfId="0" applyFont="1" applyFill="1" applyAlignment="1">
      <alignment horizontal="center" vertical="center" wrapText="1"/>
    </xf>
    <xf numFmtId="0" fontId="15" fillId="4" borderId="20" xfId="0" applyFont="1" applyFill="1" applyBorder="1" applyAlignment="1">
      <alignment horizontal="center" vertical="center" wrapText="1"/>
    </xf>
    <xf numFmtId="0" fontId="15" fillId="4" borderId="21"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2" fillId="6" borderId="3" xfId="0" applyFont="1" applyFill="1" applyBorder="1" applyAlignment="1">
      <alignment horizontal="center"/>
    </xf>
    <xf numFmtId="0" fontId="2" fillId="3" borderId="1" xfId="0" applyFont="1" applyFill="1" applyBorder="1" applyAlignment="1">
      <alignment horizontal="center" vertical="center"/>
    </xf>
    <xf numFmtId="164" fontId="6" fillId="4" borderId="1" xfId="1" applyFont="1" applyFill="1" applyBorder="1" applyAlignment="1" applyProtection="1">
      <alignment horizontal="center" vertical="center"/>
    </xf>
    <xf numFmtId="0" fontId="4" fillId="8" borderId="0" xfId="0" applyFont="1" applyFill="1" applyAlignment="1">
      <alignment horizontal="center"/>
    </xf>
    <xf numFmtId="0" fontId="0" fillId="8" borderId="16" xfId="0" applyFill="1" applyBorder="1" applyAlignment="1">
      <alignment horizontal="center" vertical="center" wrapText="1"/>
    </xf>
    <xf numFmtId="0" fontId="0" fillId="8" borderId="17" xfId="0" applyFill="1" applyBorder="1" applyAlignment="1">
      <alignment horizontal="center" vertical="center"/>
    </xf>
    <xf numFmtId="0" fontId="0" fillId="8" borderId="18" xfId="0" applyFill="1" applyBorder="1" applyAlignment="1">
      <alignment horizontal="center" vertical="center"/>
    </xf>
    <xf numFmtId="0" fontId="0" fillId="8" borderId="21" xfId="0" applyFill="1" applyBorder="1" applyAlignment="1">
      <alignment horizontal="center" vertical="center"/>
    </xf>
    <xf numFmtId="0" fontId="0" fillId="8" borderId="22" xfId="0" applyFill="1" applyBorder="1" applyAlignment="1">
      <alignment horizontal="center" vertical="center"/>
    </xf>
    <xf numFmtId="0" fontId="0" fillId="8" borderId="23" xfId="0" applyFill="1" applyBorder="1" applyAlignment="1">
      <alignment horizontal="center" vertical="center"/>
    </xf>
    <xf numFmtId="0" fontId="0" fillId="8" borderId="17" xfId="0" applyFill="1" applyBorder="1" applyAlignment="1">
      <alignment horizontal="center" vertical="center" wrapText="1"/>
    </xf>
    <xf numFmtId="0" fontId="0" fillId="8" borderId="18" xfId="0" applyFill="1" applyBorder="1" applyAlignment="1">
      <alignment horizontal="center" vertical="center" wrapText="1"/>
    </xf>
    <xf numFmtId="0" fontId="0" fillId="8" borderId="21" xfId="0" applyFill="1" applyBorder="1" applyAlignment="1">
      <alignment horizontal="center" vertical="center" wrapText="1"/>
    </xf>
    <xf numFmtId="0" fontId="0" fillId="8" borderId="22" xfId="0" applyFill="1" applyBorder="1" applyAlignment="1">
      <alignment horizontal="center" vertical="center" wrapText="1"/>
    </xf>
    <xf numFmtId="0" fontId="0" fillId="8" borderId="23" xfId="0" applyFill="1" applyBorder="1" applyAlignment="1">
      <alignment horizontal="center" vertical="center" wrapText="1"/>
    </xf>
    <xf numFmtId="0" fontId="18" fillId="8" borderId="16" xfId="0" applyFont="1" applyFill="1" applyBorder="1" applyAlignment="1">
      <alignment horizontal="center" vertical="center" wrapText="1"/>
    </xf>
    <xf numFmtId="0" fontId="0" fillId="8" borderId="16" xfId="0" applyFill="1" applyBorder="1" applyAlignment="1">
      <alignment horizontal="center" vertical="center"/>
    </xf>
    <xf numFmtId="0" fontId="11" fillId="8" borderId="21" xfId="0" applyFont="1" applyFill="1" applyBorder="1" applyAlignment="1">
      <alignment horizontal="center" vertical="center"/>
    </xf>
    <xf numFmtId="0" fontId="11" fillId="8" borderId="22" xfId="0" applyFont="1" applyFill="1" applyBorder="1" applyAlignment="1">
      <alignment horizontal="center" vertical="center"/>
    </xf>
    <xf numFmtId="0" fontId="11" fillId="8" borderId="23" xfId="0" applyFont="1" applyFill="1" applyBorder="1" applyAlignment="1">
      <alignment horizontal="center" vertical="center"/>
    </xf>
    <xf numFmtId="0" fontId="0" fillId="8" borderId="19" xfId="0" applyFill="1" applyBorder="1" applyAlignment="1">
      <alignment horizontal="center" vertical="center" wrapText="1"/>
    </xf>
    <xf numFmtId="0" fontId="0" fillId="8" borderId="0" xfId="0" applyFill="1" applyAlignment="1">
      <alignment horizontal="center" vertical="center" wrapText="1"/>
    </xf>
    <xf numFmtId="0" fontId="0" fillId="8" borderId="20" xfId="0" applyFill="1" applyBorder="1" applyAlignment="1">
      <alignment horizontal="center" vertical="center" wrapText="1"/>
    </xf>
    <xf numFmtId="0" fontId="0" fillId="8" borderId="19" xfId="0" applyFill="1" applyBorder="1" applyAlignment="1">
      <alignment horizontal="center" vertical="center"/>
    </xf>
    <xf numFmtId="0" fontId="8" fillId="4" borderId="0" xfId="0" applyFont="1" applyFill="1" applyAlignment="1">
      <alignment horizontal="center"/>
    </xf>
    <xf numFmtId="0" fontId="6" fillId="4" borderId="14" xfId="0" applyFont="1" applyFill="1" applyBorder="1" applyAlignment="1">
      <alignment horizontal="center" vertical="center" wrapText="1"/>
    </xf>
    <xf numFmtId="0" fontId="6" fillId="4" borderId="15" xfId="0" applyFont="1" applyFill="1" applyBorder="1" applyAlignment="1">
      <alignment horizontal="center" vertical="center" wrapText="1"/>
    </xf>
    <xf numFmtId="0" fontId="6" fillId="4" borderId="2" xfId="0" applyFont="1" applyFill="1" applyBorder="1" applyAlignment="1">
      <alignment horizontal="center" vertical="center" wrapText="1"/>
    </xf>
    <xf numFmtId="164" fontId="8" fillId="4" borderId="14" xfId="1" applyFont="1" applyFill="1" applyBorder="1" applyAlignment="1" applyProtection="1">
      <alignment horizontal="center" vertical="center"/>
    </xf>
    <xf numFmtId="164" fontId="8" fillId="4" borderId="15" xfId="1" applyFont="1" applyFill="1" applyBorder="1" applyAlignment="1" applyProtection="1">
      <alignment horizontal="center" vertical="center"/>
    </xf>
    <xf numFmtId="164" fontId="8" fillId="4" borderId="2" xfId="1" applyFont="1" applyFill="1" applyBorder="1" applyAlignment="1" applyProtection="1">
      <alignment horizontal="center" vertical="center"/>
    </xf>
    <xf numFmtId="0" fontId="6" fillId="4" borderId="13" xfId="0" applyFont="1" applyFill="1" applyBorder="1" applyAlignment="1">
      <alignment horizontal="center" vertical="center" wrapText="1"/>
    </xf>
    <xf numFmtId="0" fontId="16" fillId="4" borderId="0" xfId="0" applyFont="1" applyFill="1" applyAlignment="1">
      <alignment horizontal="center" vertical="center"/>
    </xf>
    <xf numFmtId="0" fontId="8" fillId="9" borderId="14" xfId="0" applyFont="1" applyFill="1" applyBorder="1" applyAlignment="1">
      <alignment horizontal="center" vertical="center"/>
    </xf>
    <xf numFmtId="0" fontId="8" fillId="9" borderId="15" xfId="0" applyFont="1" applyFill="1" applyBorder="1" applyAlignment="1">
      <alignment horizontal="center" vertical="center"/>
    </xf>
    <xf numFmtId="0" fontId="8" fillId="9" borderId="2" xfId="0" applyFont="1" applyFill="1" applyBorder="1" applyAlignment="1">
      <alignment horizontal="center" vertical="center"/>
    </xf>
    <xf numFmtId="164" fontId="7" fillId="4" borderId="14" xfId="1" applyFont="1" applyFill="1" applyBorder="1" applyAlignment="1" applyProtection="1">
      <alignment horizontal="center" vertical="center" wrapText="1"/>
    </xf>
    <xf numFmtId="164" fontId="7" fillId="4" borderId="15" xfId="1" applyFont="1" applyFill="1" applyBorder="1" applyAlignment="1" applyProtection="1">
      <alignment horizontal="center" vertical="center" wrapText="1"/>
    </xf>
    <xf numFmtId="164" fontId="7" fillId="4" borderId="2" xfId="1" applyFont="1" applyFill="1" applyBorder="1" applyAlignment="1" applyProtection="1">
      <alignment horizontal="center" vertical="center" wrapText="1"/>
    </xf>
    <xf numFmtId="0" fontId="6" fillId="4" borderId="1" xfId="0" applyFont="1" applyFill="1" applyBorder="1" applyAlignment="1">
      <alignment horizontal="center" vertical="center" wrapText="1"/>
    </xf>
    <xf numFmtId="164" fontId="6" fillId="4" borderId="1" xfId="1" applyFont="1" applyFill="1" applyBorder="1" applyAlignment="1" applyProtection="1">
      <alignment horizontal="center" vertical="center" wrapText="1"/>
    </xf>
    <xf numFmtId="0" fontId="8" fillId="4" borderId="1" xfId="0" applyFont="1" applyFill="1" applyBorder="1" applyAlignment="1">
      <alignment horizontal="center" vertical="center"/>
    </xf>
    <xf numFmtId="1" fontId="8" fillId="4" borderId="1" xfId="0" applyNumberFormat="1" applyFont="1" applyFill="1" applyBorder="1" applyAlignment="1">
      <alignment horizontal="center" vertical="center"/>
    </xf>
    <xf numFmtId="0" fontId="2" fillId="6" borderId="5" xfId="0" applyFont="1" applyFill="1" applyBorder="1" applyAlignment="1">
      <alignment horizontal="center" vertical="center"/>
    </xf>
  </cellXfs>
  <cellStyles count="2">
    <cellStyle name="Moeda" xfId="1" builtinId="4"/>
    <cellStyle name="Normal" xfId="0" builtinId="0"/>
  </cellStyles>
  <dxfs count="7">
    <dxf>
      <fill>
        <patternFill>
          <bgColor theme="7" tint="0.79998168889431442"/>
        </patternFill>
      </fill>
    </dxf>
    <dxf>
      <fill>
        <patternFill>
          <bgColor theme="7" tint="0.79998168889431442"/>
        </patternFill>
      </fill>
    </dxf>
    <dxf>
      <fill>
        <patternFill>
          <bgColor theme="9"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7" tint="0.79998168889431442"/>
        </patternFill>
      </fill>
    </dxf>
  </dxfs>
  <tableStyles count="0" defaultTableStyle="TableStyleMedium2" defaultPivotStyle="PivotStyleLight16"/>
  <colors>
    <mruColors>
      <color rgb="FFDD3A0D"/>
      <color rgb="FFFC9C92"/>
      <color rgb="FFFB7E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E06C5-138A-4064-830A-C9EF7744D694}">
  <dimension ref="B2:Y24"/>
  <sheetViews>
    <sheetView topLeftCell="A10" workbookViewId="0">
      <selection activeCell="J6" sqref="J6"/>
    </sheetView>
  </sheetViews>
  <sheetFormatPr defaultColWidth="9.140625" defaultRowHeight="15"/>
  <cols>
    <col min="1" max="1" width="1.7109375" style="22" customWidth="1"/>
    <col min="2" max="7" width="9.140625" style="22"/>
    <col min="8" max="8" width="9.140625" style="23"/>
    <col min="9" max="16384" width="9.140625" style="22"/>
  </cols>
  <sheetData>
    <row r="2" spans="2:25" ht="24.75">
      <c r="B2" s="76" t="s">
        <v>0</v>
      </c>
      <c r="C2" s="76"/>
      <c r="D2" s="76"/>
      <c r="E2" s="76"/>
      <c r="F2" s="76"/>
      <c r="G2" s="76"/>
      <c r="H2" s="76"/>
      <c r="I2" s="76"/>
      <c r="J2" s="76"/>
      <c r="K2" s="76"/>
      <c r="L2" s="76"/>
      <c r="M2" s="76"/>
      <c r="N2" s="76"/>
      <c r="O2" s="76"/>
      <c r="P2" s="76"/>
      <c r="Q2" s="76"/>
      <c r="R2" s="76"/>
      <c r="S2" s="76"/>
      <c r="T2" s="76"/>
      <c r="U2" s="76"/>
      <c r="V2" s="76"/>
      <c r="W2" s="76"/>
      <c r="X2" s="76"/>
      <c r="Y2" s="76"/>
    </row>
    <row r="3" spans="2:25" ht="15.75" thickBot="1"/>
    <row r="4" spans="2:25" ht="15.75" customHeight="1">
      <c r="B4" s="89" t="s">
        <v>1</v>
      </c>
      <c r="C4" s="77" t="s">
        <v>2</v>
      </c>
      <c r="D4" s="83"/>
      <c r="E4" s="83"/>
      <c r="F4" s="83"/>
      <c r="G4" s="83"/>
      <c r="H4" s="83"/>
      <c r="I4" s="83"/>
      <c r="J4" s="83"/>
      <c r="K4" s="83"/>
      <c r="L4" s="83"/>
      <c r="M4" s="83"/>
      <c r="N4" s="83"/>
      <c r="O4" s="83"/>
      <c r="P4" s="83"/>
      <c r="Q4" s="83"/>
      <c r="R4" s="83"/>
      <c r="S4" s="83"/>
      <c r="T4" s="83"/>
      <c r="U4" s="83"/>
      <c r="V4" s="83"/>
      <c r="W4" s="83"/>
      <c r="X4" s="83"/>
      <c r="Y4" s="84"/>
    </row>
    <row r="5" spans="2:25" ht="15.75" customHeight="1">
      <c r="B5" s="96"/>
      <c r="C5" s="93"/>
      <c r="D5" s="94"/>
      <c r="E5" s="94"/>
      <c r="F5" s="94"/>
      <c r="G5" s="94"/>
      <c r="H5" s="94"/>
      <c r="I5" s="94"/>
      <c r="J5" s="94"/>
      <c r="K5" s="94"/>
      <c r="L5" s="94"/>
      <c r="M5" s="94"/>
      <c r="N5" s="94"/>
      <c r="O5" s="94"/>
      <c r="P5" s="94"/>
      <c r="Q5" s="94"/>
      <c r="R5" s="94"/>
      <c r="S5" s="94"/>
      <c r="T5" s="94"/>
      <c r="U5" s="94"/>
      <c r="V5" s="94"/>
      <c r="W5" s="94"/>
      <c r="X5" s="94"/>
      <c r="Y5" s="95"/>
    </row>
    <row r="6" spans="2:25" ht="15.75" customHeight="1" thickBot="1">
      <c r="B6" s="80"/>
      <c r="C6" s="85"/>
      <c r="D6" s="86"/>
      <c r="E6" s="86"/>
      <c r="F6" s="86"/>
      <c r="G6" s="86"/>
      <c r="H6" s="86"/>
      <c r="I6" s="86"/>
      <c r="J6" s="86"/>
      <c r="K6" s="86"/>
      <c r="L6" s="86"/>
      <c r="M6" s="86"/>
      <c r="N6" s="86"/>
      <c r="O6" s="86"/>
      <c r="P6" s="86"/>
      <c r="Q6" s="86"/>
      <c r="R6" s="86"/>
      <c r="S6" s="86"/>
      <c r="T6" s="86"/>
      <c r="U6" s="86"/>
      <c r="V6" s="86"/>
      <c r="W6" s="86"/>
      <c r="X6" s="86"/>
      <c r="Y6" s="87"/>
    </row>
    <row r="7" spans="2:25" ht="15.75" thickBot="1"/>
    <row r="8" spans="2:25" ht="15" customHeight="1">
      <c r="B8" s="77" t="s">
        <v>3</v>
      </c>
      <c r="C8" s="89" t="s">
        <v>4</v>
      </c>
      <c r="D8" s="78"/>
      <c r="E8" s="78"/>
      <c r="F8" s="78"/>
      <c r="G8" s="78"/>
      <c r="H8" s="78"/>
      <c r="I8" s="78"/>
      <c r="J8" s="78"/>
      <c r="K8" s="78"/>
      <c r="L8" s="78"/>
      <c r="M8" s="78"/>
      <c r="N8" s="78"/>
      <c r="O8" s="78"/>
      <c r="P8" s="78"/>
      <c r="Q8" s="78"/>
      <c r="R8" s="78"/>
      <c r="S8" s="78"/>
      <c r="T8" s="78"/>
      <c r="U8" s="78"/>
      <c r="V8" s="78"/>
      <c r="W8" s="78"/>
      <c r="X8" s="78"/>
      <c r="Y8" s="79"/>
    </row>
    <row r="9" spans="2:25">
      <c r="B9" s="93"/>
      <c r="C9" s="24"/>
      <c r="D9" s="25"/>
      <c r="E9" s="25"/>
      <c r="F9" s="25"/>
      <c r="G9" s="25"/>
      <c r="H9" s="25"/>
      <c r="I9" s="25"/>
      <c r="J9" s="25"/>
      <c r="K9" s="25"/>
      <c r="L9" s="25"/>
      <c r="M9" s="25"/>
      <c r="N9" s="25"/>
      <c r="O9" s="25"/>
      <c r="P9" s="25"/>
      <c r="Q9" s="25"/>
      <c r="R9" s="25"/>
      <c r="S9" s="25"/>
      <c r="T9" s="25"/>
      <c r="U9" s="25"/>
      <c r="V9" s="25"/>
      <c r="W9" s="25"/>
      <c r="X9" s="25"/>
      <c r="Y9" s="26"/>
    </row>
    <row r="10" spans="2:25" ht="15.75" customHeight="1" thickBot="1">
      <c r="B10" s="85"/>
      <c r="C10" s="90" t="s">
        <v>5</v>
      </c>
      <c r="D10" s="91"/>
      <c r="E10" s="91"/>
      <c r="F10" s="91"/>
      <c r="G10" s="91"/>
      <c r="H10" s="91"/>
      <c r="I10" s="91"/>
      <c r="J10" s="91"/>
      <c r="K10" s="91"/>
      <c r="L10" s="91"/>
      <c r="M10" s="91"/>
      <c r="N10" s="91"/>
      <c r="O10" s="91"/>
      <c r="P10" s="91"/>
      <c r="Q10" s="91"/>
      <c r="R10" s="91"/>
      <c r="S10" s="91"/>
      <c r="T10" s="91"/>
      <c r="U10" s="91"/>
      <c r="V10" s="91"/>
      <c r="W10" s="91"/>
      <c r="X10" s="91"/>
      <c r="Y10" s="92"/>
    </row>
    <row r="11" spans="2:25" ht="15.75" customHeight="1">
      <c r="B11" s="27"/>
    </row>
    <row r="12" spans="2:25" ht="16.5">
      <c r="B12" s="28" t="s">
        <v>6</v>
      </c>
      <c r="C12" s="29"/>
      <c r="D12" s="29"/>
      <c r="E12" s="30"/>
      <c r="F12" s="30"/>
    </row>
    <row r="13" spans="2:25" ht="15.75" thickBot="1"/>
    <row r="14" spans="2:25">
      <c r="B14" s="77" t="s">
        <v>7</v>
      </c>
      <c r="C14" s="78"/>
      <c r="D14" s="78"/>
      <c r="E14" s="78"/>
      <c r="F14" s="78"/>
      <c r="G14" s="78"/>
      <c r="H14" s="78"/>
      <c r="I14" s="78"/>
      <c r="J14" s="78"/>
      <c r="K14" s="78"/>
      <c r="L14" s="78"/>
      <c r="M14" s="78"/>
      <c r="N14" s="78"/>
      <c r="O14" s="78"/>
      <c r="P14" s="78"/>
      <c r="Q14" s="78"/>
      <c r="R14" s="78"/>
      <c r="S14" s="78"/>
      <c r="T14" s="78"/>
      <c r="U14" s="78"/>
      <c r="V14" s="78"/>
      <c r="W14" s="78"/>
      <c r="X14" s="78"/>
      <c r="Y14" s="79"/>
    </row>
    <row r="15" spans="2:25" ht="15.75" thickBot="1">
      <c r="B15" s="80"/>
      <c r="C15" s="81"/>
      <c r="D15" s="81"/>
      <c r="E15" s="81"/>
      <c r="F15" s="81"/>
      <c r="G15" s="81"/>
      <c r="H15" s="81"/>
      <c r="I15" s="81"/>
      <c r="J15" s="81"/>
      <c r="K15" s="81"/>
      <c r="L15" s="81"/>
      <c r="M15" s="81"/>
      <c r="N15" s="81"/>
      <c r="O15" s="81"/>
      <c r="P15" s="81"/>
      <c r="Q15" s="81"/>
      <c r="R15" s="81"/>
      <c r="S15" s="81"/>
      <c r="T15" s="81"/>
      <c r="U15" s="81"/>
      <c r="V15" s="81"/>
      <c r="W15" s="81"/>
      <c r="X15" s="81"/>
      <c r="Y15" s="82"/>
    </row>
    <row r="16" spans="2:25" ht="15.75" thickBot="1"/>
    <row r="17" spans="2:25" ht="15" customHeight="1">
      <c r="B17" s="77" t="s">
        <v>8</v>
      </c>
      <c r="C17" s="83"/>
      <c r="D17" s="83"/>
      <c r="E17" s="83"/>
      <c r="F17" s="83"/>
      <c r="G17" s="83"/>
      <c r="H17" s="83"/>
      <c r="I17" s="83"/>
      <c r="J17" s="83"/>
      <c r="K17" s="83"/>
      <c r="L17" s="83"/>
      <c r="M17" s="83"/>
      <c r="N17" s="83"/>
      <c r="O17" s="83"/>
      <c r="P17" s="83"/>
      <c r="Q17" s="83"/>
      <c r="R17" s="83"/>
      <c r="S17" s="83"/>
      <c r="T17" s="83"/>
      <c r="U17" s="83"/>
      <c r="V17" s="83"/>
      <c r="W17" s="83"/>
      <c r="X17" s="83"/>
      <c r="Y17" s="84"/>
    </row>
    <row r="18" spans="2:25" ht="15.75" thickBot="1">
      <c r="B18" s="85"/>
      <c r="C18" s="86"/>
      <c r="D18" s="86"/>
      <c r="E18" s="86"/>
      <c r="F18" s="86"/>
      <c r="G18" s="86"/>
      <c r="H18" s="86"/>
      <c r="I18" s="86"/>
      <c r="J18" s="86"/>
      <c r="K18" s="86"/>
      <c r="L18" s="86"/>
      <c r="M18" s="86"/>
      <c r="N18" s="86"/>
      <c r="O18" s="86"/>
      <c r="P18" s="86"/>
      <c r="Q18" s="86"/>
      <c r="R18" s="86"/>
      <c r="S18" s="86"/>
      <c r="T18" s="86"/>
      <c r="U18" s="86"/>
      <c r="V18" s="86"/>
      <c r="W18" s="86"/>
      <c r="X18" s="86"/>
      <c r="Y18" s="87"/>
    </row>
    <row r="20" spans="2:25">
      <c r="B20" s="88" t="s">
        <v>9</v>
      </c>
      <c r="C20" s="83"/>
      <c r="D20" s="83"/>
      <c r="E20" s="83"/>
      <c r="F20" s="83"/>
      <c r="G20" s="83"/>
      <c r="H20" s="83"/>
      <c r="I20" s="83"/>
      <c r="J20" s="83"/>
      <c r="K20" s="83"/>
      <c r="L20" s="83"/>
      <c r="M20" s="83"/>
      <c r="N20" s="83"/>
      <c r="O20" s="83"/>
      <c r="P20" s="83"/>
      <c r="Q20" s="83"/>
      <c r="R20" s="83"/>
      <c r="S20" s="83"/>
      <c r="T20" s="83"/>
      <c r="U20" s="83"/>
      <c r="V20" s="83"/>
      <c r="W20" s="83"/>
      <c r="X20" s="83"/>
      <c r="Y20" s="84"/>
    </row>
    <row r="21" spans="2:25" ht="15.75" customHeight="1" thickBot="1">
      <c r="B21" s="85"/>
      <c r="C21" s="86"/>
      <c r="D21" s="86"/>
      <c r="E21" s="86"/>
      <c r="F21" s="86"/>
      <c r="G21" s="86"/>
      <c r="H21" s="86"/>
      <c r="I21" s="86"/>
      <c r="J21" s="86"/>
      <c r="K21" s="86"/>
      <c r="L21" s="86"/>
      <c r="M21" s="86"/>
      <c r="N21" s="86"/>
      <c r="O21" s="86"/>
      <c r="P21" s="86"/>
      <c r="Q21" s="86"/>
      <c r="R21" s="86"/>
      <c r="S21" s="86"/>
      <c r="T21" s="86"/>
      <c r="U21" s="86"/>
      <c r="V21" s="86"/>
      <c r="W21" s="86"/>
      <c r="X21" s="86"/>
      <c r="Y21" s="87"/>
    </row>
    <row r="22" spans="2:25" ht="15.75" thickBot="1"/>
    <row r="23" spans="2:25">
      <c r="B23" s="88" t="s">
        <v>10</v>
      </c>
      <c r="C23" s="83"/>
      <c r="D23" s="83"/>
      <c r="E23" s="83"/>
      <c r="F23" s="83"/>
      <c r="G23" s="83"/>
      <c r="H23" s="83"/>
      <c r="I23" s="83"/>
      <c r="J23" s="83"/>
      <c r="K23" s="83"/>
      <c r="L23" s="83"/>
      <c r="M23" s="83"/>
      <c r="N23" s="83"/>
      <c r="O23" s="83"/>
      <c r="P23" s="83"/>
      <c r="Q23" s="83"/>
      <c r="R23" s="83"/>
      <c r="S23" s="83"/>
      <c r="T23" s="83"/>
      <c r="U23" s="83"/>
      <c r="V23" s="83"/>
      <c r="W23" s="83"/>
      <c r="X23" s="83"/>
      <c r="Y23" s="84"/>
    </row>
    <row r="24" spans="2:25">
      <c r="B24" s="85"/>
      <c r="C24" s="86"/>
      <c r="D24" s="86"/>
      <c r="E24" s="86"/>
      <c r="F24" s="86"/>
      <c r="G24" s="86"/>
      <c r="H24" s="86"/>
      <c r="I24" s="86"/>
      <c r="J24" s="86"/>
      <c r="K24" s="86"/>
      <c r="L24" s="86"/>
      <c r="M24" s="86"/>
      <c r="N24" s="86"/>
      <c r="O24" s="86"/>
      <c r="P24" s="86"/>
      <c r="Q24" s="86"/>
      <c r="R24" s="86"/>
      <c r="S24" s="86"/>
      <c r="T24" s="86"/>
      <c r="U24" s="86"/>
      <c r="V24" s="86"/>
      <c r="W24" s="86"/>
      <c r="X24" s="86"/>
      <c r="Y24" s="87"/>
    </row>
  </sheetData>
  <sheetProtection algorithmName="SHA-512" hashValue="z3+V0BUZalThLDiJw5IN3O9bVKplxa2rrd1MJz9M3+Lfx3gZkI91Vy2Qs+/sYShSA7isgDZeURolgbcPwIEUiw==" saltValue="Lc9pmCcPAjpa71cFNQhtdg==" spinCount="100000" sheet="1" objects="1" scenarios="1" selectLockedCells="1" selectUnlockedCells="1"/>
  <mergeCells count="10">
    <mergeCell ref="B2:Y2"/>
    <mergeCell ref="B14:Y15"/>
    <mergeCell ref="B17:Y18"/>
    <mergeCell ref="B20:Y21"/>
    <mergeCell ref="B23:Y24"/>
    <mergeCell ref="C8:Y8"/>
    <mergeCell ref="C10:Y10"/>
    <mergeCell ref="B8:B10"/>
    <mergeCell ref="C4:Y6"/>
    <mergeCell ref="B4:B6"/>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4EF77-5AB8-4D89-A829-2D99003F7F7F}">
  <dimension ref="B1:N23"/>
  <sheetViews>
    <sheetView tabSelected="1" topLeftCell="B1" workbookViewId="0">
      <selection activeCell="I25" sqref="I25"/>
    </sheetView>
  </sheetViews>
  <sheetFormatPr defaultColWidth="9.140625" defaultRowHeight="15"/>
  <cols>
    <col min="1" max="4" width="9.140625" style="22"/>
    <col min="5" max="5" width="11.85546875" style="22" bestFit="1" customWidth="1"/>
    <col min="6" max="8" width="9.140625" style="22"/>
    <col min="9" max="9" width="45.7109375" style="22" bestFit="1" customWidth="1"/>
    <col min="10" max="10" width="25.140625" style="22" customWidth="1"/>
    <col min="11" max="11" width="10.28515625" style="22" bestFit="1" customWidth="1"/>
    <col min="12" max="12" width="34.140625" style="22" customWidth="1"/>
    <col min="13" max="13" width="18.5703125" style="22" customWidth="1"/>
    <col min="14" max="14" width="10.28515625" style="22" bestFit="1" customWidth="1"/>
    <col min="15" max="15" width="9.140625" style="22"/>
    <col min="16" max="16" width="41.28515625" style="22" bestFit="1" customWidth="1"/>
    <col min="17" max="16384" width="9.140625" style="22"/>
  </cols>
  <sheetData>
    <row r="1" spans="2:14">
      <c r="I1" s="63" t="s">
        <v>11</v>
      </c>
      <c r="J1" s="63"/>
    </row>
    <row r="2" spans="2:14">
      <c r="I2" s="63"/>
      <c r="J2" s="63"/>
    </row>
    <row r="3" spans="2:14" ht="15.75" thickBot="1"/>
    <row r="4" spans="2:14">
      <c r="B4" s="64" t="s">
        <v>12</v>
      </c>
      <c r="C4" s="65"/>
      <c r="D4" s="65"/>
      <c r="E4" s="65"/>
      <c r="F4" s="65"/>
      <c r="G4" s="66"/>
      <c r="I4" s="73" t="s">
        <v>13</v>
      </c>
      <c r="J4" s="73"/>
    </row>
    <row r="5" spans="2:14">
      <c r="B5" s="67"/>
      <c r="C5" s="68"/>
      <c r="D5" s="68"/>
      <c r="E5" s="68"/>
      <c r="F5" s="68"/>
      <c r="G5" s="69"/>
      <c r="I5" s="34" t="s">
        <v>14</v>
      </c>
      <c r="J5" s="32">
        <v>46280</v>
      </c>
      <c r="L5" s="55" t="s">
        <v>15</v>
      </c>
    </row>
    <row r="6" spans="2:14">
      <c r="B6" s="67"/>
      <c r="C6" s="68"/>
      <c r="D6" s="68"/>
      <c r="E6" s="68"/>
      <c r="F6" s="68"/>
      <c r="G6" s="69"/>
      <c r="I6" s="34" t="s">
        <v>16</v>
      </c>
      <c r="J6" s="33">
        <v>46266</v>
      </c>
      <c r="L6" s="55"/>
      <c r="M6" s="54"/>
      <c r="N6" s="31"/>
    </row>
    <row r="7" spans="2:14">
      <c r="B7" s="67"/>
      <c r="C7" s="68"/>
      <c r="D7" s="68"/>
      <c r="E7" s="68"/>
      <c r="F7" s="68"/>
      <c r="G7" s="69"/>
      <c r="I7" s="34" t="s">
        <v>17</v>
      </c>
      <c r="J7" s="35">
        <f>VLOOKUP($J$6,'Validação de Dados'!$B:$D,3,0)</f>
        <v>21</v>
      </c>
      <c r="L7" s="55"/>
    </row>
    <row r="8" spans="2:14">
      <c r="B8" s="70"/>
      <c r="C8" s="71"/>
      <c r="D8" s="71"/>
      <c r="E8" s="71"/>
      <c r="F8" s="71"/>
      <c r="G8" s="72"/>
      <c r="I8" s="34" t="s">
        <v>18</v>
      </c>
      <c r="J8" s="35">
        <f>VLOOKUP(DATE(YEAR('1. Painel'!J6-1),MONTH('1. Painel'!J6-1),1),'Validação de Dados'!B:D,3,0)</f>
        <v>21</v>
      </c>
      <c r="L8" s="56" t="str">
        <f>"Exemplo: Pagamento do mês de "&amp;TEXT(J6, "mmmm")&amp;" é feito no 5º dia útil do mês de "&amp;TEXT(EDATE(J6, 1), "mmmm")</f>
        <v>Exemplo: Pagamento do mês de setembro é feito no 5º dia útil do mês de outubro</v>
      </c>
    </row>
    <row r="9" spans="2:14">
      <c r="L9" s="56"/>
    </row>
    <row r="11" spans="2:14">
      <c r="I11" s="74" t="str">
        <f>"2. Passo - Configuração de Faltas (Injustificadas e outros) - mês de "&amp;UPPER('Validação de Dados'!H3)</f>
        <v>2. Passo - Configuração de Faltas (Injustificadas e outros) - mês de AGOSTO</v>
      </c>
      <c r="J11" s="74"/>
    </row>
    <row r="12" spans="2:14">
      <c r="B12" s="57" t="s">
        <v>19</v>
      </c>
      <c r="C12" s="57"/>
      <c r="D12" s="57"/>
      <c r="E12" s="57"/>
      <c r="F12" s="75">
        <v>1639.53</v>
      </c>
      <c r="G12" s="75"/>
      <c r="I12" s="58" t="str">
        <f>"Quantos dias ÚTEIS você NÃO veio presencialmente ao senado? - "&amp; UPPER('Validação de Dados'!H3)</f>
        <v>Quantos dias ÚTEIS você NÃO veio presencialmente ao senado? - AGOSTO</v>
      </c>
      <c r="J12" s="59">
        <v>0</v>
      </c>
    </row>
    <row r="13" spans="2:14">
      <c r="B13" s="57" t="s">
        <v>20</v>
      </c>
      <c r="C13" s="57"/>
      <c r="D13" s="57"/>
      <c r="E13" s="57"/>
      <c r="F13" s="75">
        <f>F12/30</f>
        <v>54.650999999999996</v>
      </c>
      <c r="G13" s="75"/>
      <c r="I13" s="58"/>
      <c r="J13" s="60"/>
    </row>
    <row r="14" spans="2:14">
      <c r="B14" s="57" t="s">
        <v>21</v>
      </c>
      <c r="C14" s="57"/>
      <c r="D14" s="57"/>
      <c r="E14" s="57"/>
      <c r="F14" s="75">
        <v>13.5</v>
      </c>
      <c r="G14" s="75"/>
      <c r="I14" s="58"/>
      <c r="J14" s="61"/>
    </row>
    <row r="15" spans="2:14">
      <c r="B15" s="57" t="s">
        <v>22</v>
      </c>
      <c r="C15" s="57"/>
      <c r="D15" s="57"/>
      <c r="E15" s="57"/>
      <c r="F15" s="62">
        <f>DATE(YEAR('1. Painel'!J6),MONTH('1. Painel'!J6),1)</f>
        <v>46266</v>
      </c>
      <c r="G15" s="62"/>
      <c r="I15" s="58" t="str">
        <f>"Desses dias, quantos foram FALTAS INJUSTIFICADAS? - " &amp;UPPER('Validação de Dados'!H3)</f>
        <v>Desses dias, quantos foram FALTAS INJUSTIFICADAS? - AGOSTO</v>
      </c>
      <c r="J15" s="59">
        <v>0</v>
      </c>
    </row>
    <row r="16" spans="2:14">
      <c r="B16" s="57" t="s">
        <v>23</v>
      </c>
      <c r="C16" s="57"/>
      <c r="D16" s="57"/>
      <c r="E16" s="57"/>
      <c r="F16" s="62">
        <f>EOMONTH('1. Painel'!J6,0)</f>
        <v>46295</v>
      </c>
      <c r="G16" s="62"/>
      <c r="I16" s="58"/>
      <c r="J16" s="60"/>
    </row>
    <row r="17" spans="9:10">
      <c r="I17" s="58"/>
      <c r="J17" s="61"/>
    </row>
    <row r="20" spans="9:10">
      <c r="I20" s="36" t="s">
        <v>24</v>
      </c>
      <c r="J20" s="37">
        <f>'2. Calculadora de Pagamentos'!N4+('2. Calculadora de Pagamentos'!N6*'1. Painel'!J7)</f>
        <v>1923.03</v>
      </c>
    </row>
    <row r="21" spans="9:10">
      <c r="I21" s="38" t="s">
        <v>25</v>
      </c>
      <c r="J21" s="39">
        <f>'2. Calculadora de Pagamentos'!I17</f>
        <v>765.11399999999992</v>
      </c>
    </row>
    <row r="22" spans="9:10">
      <c r="I22" s="38" t="s">
        <v>26</v>
      </c>
      <c r="J22" s="39">
        <f>'2. Calculadora de Pagamentos'!I18</f>
        <v>121.5</v>
      </c>
    </row>
    <row r="23" spans="9:10">
      <c r="I23" s="36" t="s">
        <v>27</v>
      </c>
      <c r="J23" s="37">
        <f>J20-SUM(J21:J22)</f>
        <v>1036.4160000000002</v>
      </c>
    </row>
  </sheetData>
  <sheetProtection sheet="1" objects="1" scenarios="1"/>
  <mergeCells count="20">
    <mergeCell ref="I1:J2"/>
    <mergeCell ref="B4:G8"/>
    <mergeCell ref="I4:J4"/>
    <mergeCell ref="I11:J11"/>
    <mergeCell ref="I12:I14"/>
    <mergeCell ref="J12:J14"/>
    <mergeCell ref="F12:G12"/>
    <mergeCell ref="F13:G13"/>
    <mergeCell ref="F14:G14"/>
    <mergeCell ref="B12:E12"/>
    <mergeCell ref="B13:E13"/>
    <mergeCell ref="B14:E14"/>
    <mergeCell ref="L5:L7"/>
    <mergeCell ref="L8:L9"/>
    <mergeCell ref="B15:E15"/>
    <mergeCell ref="B16:E16"/>
    <mergeCell ref="I15:I17"/>
    <mergeCell ref="J15:J17"/>
    <mergeCell ref="F15:G15"/>
    <mergeCell ref="F16:G16"/>
  </mergeCells>
  <conditionalFormatting sqref="B12:B16 F12:F16">
    <cfRule type="expression" dxfId="6" priority="1">
      <formula>EVEN(ROW()) = ROW()</formula>
    </cfRule>
  </conditionalFormatting>
  <pageMargins left="0.511811024" right="0.511811024" top="0.78740157499999996" bottom="0.78740157499999996" header="0.31496062000000002" footer="0.31496062000000002"/>
  <extLst>
    <ext xmlns:x14="http://schemas.microsoft.com/office/spreadsheetml/2009/9/main" uri="{CCE6A557-97BC-4b89-ADB6-D9C93CAAB3DF}">
      <x14:dataValidations xmlns:xm="http://schemas.microsoft.com/office/excel/2006/main" count="1">
        <x14:dataValidation type="list" allowBlank="1" showInputMessage="1" showErrorMessage="1" xr:uid="{83F7B463-E296-413B-9738-58900E2FC385}">
          <x14:formula1>
            <xm:f>'Validação de Dados'!$B$3:$B$14</xm:f>
          </x14:formula1>
          <xm:sqref>J6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19EAC-979B-4D4A-88C1-B55528240BAB}">
  <dimension ref="D1:V24"/>
  <sheetViews>
    <sheetView workbookViewId="0">
      <selection activeCell="I25" sqref="I25"/>
    </sheetView>
  </sheetViews>
  <sheetFormatPr defaultColWidth="24.28515625" defaultRowHeight="15"/>
  <cols>
    <col min="1" max="1" width="24.28515625" style="41"/>
    <col min="2" max="2" width="15.42578125" style="41" customWidth="1"/>
    <col min="3" max="3" width="10" style="41" customWidth="1"/>
    <col min="4" max="4" width="10.7109375" style="41" customWidth="1"/>
    <col min="5" max="5" width="11.5703125" style="41" customWidth="1"/>
    <col min="6" max="6" width="10.7109375" style="48" customWidth="1"/>
    <col min="7" max="7" width="13.42578125" style="47" bestFit="1" customWidth="1"/>
    <col min="8" max="8" width="10.5703125" style="41" customWidth="1"/>
    <col min="9" max="9" width="11.85546875" style="47" bestFit="1" customWidth="1"/>
    <col min="10" max="10" width="15.5703125" style="41" customWidth="1"/>
    <col min="11" max="11" width="11.85546875" style="47" bestFit="1" customWidth="1"/>
    <col min="12" max="12" width="11.5703125" style="41" customWidth="1"/>
    <col min="13" max="13" width="10.7109375" style="41" customWidth="1"/>
    <col min="14" max="14" width="11.85546875" style="41" bestFit="1" customWidth="1"/>
    <col min="15" max="15" width="10.7109375" style="41" customWidth="1"/>
    <col min="16" max="16" width="13.42578125" style="41" bestFit="1" customWidth="1"/>
    <col min="17" max="16384" width="24.28515625" style="41"/>
  </cols>
  <sheetData>
    <row r="1" spans="4:22" s="40" customFormat="1" ht="19.5" customHeight="1">
      <c r="D1" s="97" t="s">
        <v>28</v>
      </c>
      <c r="E1" s="97"/>
      <c r="F1" s="97"/>
      <c r="G1" s="97"/>
      <c r="H1" s="97"/>
      <c r="I1" s="97"/>
      <c r="J1" s="97"/>
      <c r="K1" s="97"/>
      <c r="L1" s="97"/>
      <c r="M1" s="97"/>
      <c r="N1" s="97"/>
    </row>
    <row r="2" spans="4:22" s="40" customFormat="1" ht="4.5" customHeight="1">
      <c r="D2" s="97"/>
      <c r="E2" s="97"/>
      <c r="F2" s="97"/>
      <c r="G2" s="97"/>
      <c r="H2" s="97"/>
      <c r="I2" s="97"/>
      <c r="J2" s="97"/>
      <c r="K2" s="97"/>
      <c r="L2" s="97"/>
      <c r="M2" s="97"/>
      <c r="N2" s="97"/>
    </row>
    <row r="4" spans="4:22" ht="24.75">
      <c r="D4" s="106" t="s">
        <v>29</v>
      </c>
      <c r="E4" s="107"/>
      <c r="F4" s="107"/>
      <c r="G4" s="107"/>
      <c r="H4" s="107"/>
      <c r="I4" s="108"/>
      <c r="K4" s="57" t="s">
        <v>19</v>
      </c>
      <c r="L4" s="57"/>
      <c r="M4" s="57"/>
      <c r="N4" s="43">
        <v>1639.53</v>
      </c>
    </row>
    <row r="5" spans="4:22">
      <c r="D5" s="98" t="str">
        <f>"Dias Desc. (Bolsa - Entrantes - "&amp;'Validação de Dados'!H2&amp;")"</f>
        <v>Dias Desc. (Bolsa - Entrantes - setembro)</v>
      </c>
      <c r="E5" s="99"/>
      <c r="F5" s="99"/>
      <c r="G5" s="99"/>
      <c r="H5" s="100"/>
      <c r="I5" s="44">
        <f>IF('1. Painel'!J5&gt;'2. Calculadora de Pagamentos'!N7,DAY('1. Painel'!J5)-1, 0)</f>
        <v>14</v>
      </c>
      <c r="K5" s="57" t="s">
        <v>20</v>
      </c>
      <c r="L5" s="57"/>
      <c r="M5" s="57"/>
      <c r="N5" s="43">
        <f>N4/30</f>
        <v>54.650999999999996</v>
      </c>
    </row>
    <row r="6" spans="4:22">
      <c r="D6" s="98" t="str">
        <f>"Valor Desc. (Bolsa - Entrantes - "&amp;'Validação de Dados'!H2&amp;")"</f>
        <v>Valor Desc. (Bolsa - Entrantes - setembro)</v>
      </c>
      <c r="E6" s="99"/>
      <c r="F6" s="99"/>
      <c r="G6" s="99"/>
      <c r="H6" s="100"/>
      <c r="I6" s="45">
        <f>$I$5*$N$5</f>
        <v>765.11399999999992</v>
      </c>
      <c r="K6" s="57" t="s">
        <v>21</v>
      </c>
      <c r="L6" s="57"/>
      <c r="M6" s="57"/>
      <c r="N6" s="43">
        <v>13.5</v>
      </c>
    </row>
    <row r="7" spans="4:22">
      <c r="D7" s="98" t="str">
        <f>"Dias Desc. (A.T  Entrantes - "&amp;'Validação de Dados'!$H$2&amp;" - "&amp;'1. Painel'!$J$7&amp;" dias úteis)"</f>
        <v>Dias Desc. (A.T  Entrantes - setembro - 21 dias úteis)</v>
      </c>
      <c r="E7" s="99"/>
      <c r="F7" s="99"/>
      <c r="G7" s="99"/>
      <c r="H7" s="100"/>
      <c r="I7" s="42">
        <f>IF(I5=0,0,NETWORKDAYS('1. Painel'!J6,'1. Painel'!J5-1,INDEX('Feriados e Ptos Fac. Senado'!B2:G13,MATCH('1. Painel'!J6,'Feriados e Ptos Fac. Senado'!A2:A13,0),0)))</f>
        <v>9</v>
      </c>
      <c r="K7" s="57" t="s">
        <v>22</v>
      </c>
      <c r="L7" s="57"/>
      <c r="M7" s="57"/>
      <c r="N7" s="46">
        <f>DATE(YEAR('1. Painel'!J6),MONTH('1. Painel'!J6),1)</f>
        <v>46266</v>
      </c>
    </row>
    <row r="8" spans="4:22">
      <c r="D8" s="98" t="str">
        <f>"Valor Desc. (A.T  Entrantes - "&amp;'Validação de Dados'!$H$2&amp;" - "&amp;'1. Painel'!$J$7&amp;" dias úteis)"</f>
        <v>Valor Desc. (A.T  Entrantes - setembro - 21 dias úteis)</v>
      </c>
      <c r="E8" s="99"/>
      <c r="F8" s="99"/>
      <c r="G8" s="99"/>
      <c r="H8" s="100"/>
      <c r="I8" s="45">
        <f>I7*N6</f>
        <v>121.5</v>
      </c>
      <c r="K8" s="57" t="s">
        <v>23</v>
      </c>
      <c r="L8" s="57"/>
      <c r="M8" s="57"/>
      <c r="N8" s="46">
        <f>EOMONTH('1. Painel'!J6,0)</f>
        <v>46295</v>
      </c>
      <c r="T8" s="47"/>
      <c r="U8" s="47"/>
    </row>
    <row r="9" spans="4:22">
      <c r="K9" s="41"/>
      <c r="T9" s="47"/>
      <c r="U9" s="47"/>
    </row>
    <row r="10" spans="4:22" ht="24.75">
      <c r="D10" s="114" t="s">
        <v>30</v>
      </c>
      <c r="E10" s="114"/>
      <c r="F10" s="114"/>
      <c r="G10" s="114"/>
      <c r="H10" s="114"/>
      <c r="I10" s="114"/>
    </row>
    <row r="11" spans="4:22">
      <c r="D11" s="112" t="str">
        <f>"Dias Desc. (Bolsa - "&amp;'Validação de Dados'!H3&amp;")"</f>
        <v>Dias Desc. (Bolsa - agosto)</v>
      </c>
      <c r="E11" s="112"/>
      <c r="F11" s="112"/>
      <c r="G11" s="112"/>
      <c r="H11" s="112"/>
      <c r="I11" s="42">
        <f>'1. Painel'!J15</f>
        <v>0</v>
      </c>
      <c r="J11" s="49"/>
      <c r="K11" s="104" t="s">
        <v>31</v>
      </c>
      <c r="L11" s="104"/>
      <c r="M11" s="104"/>
      <c r="N11" s="50">
        <f>'1. Painel'!J5</f>
        <v>46280</v>
      </c>
      <c r="Q11" s="51"/>
      <c r="R11" s="51"/>
      <c r="V11" s="47"/>
    </row>
    <row r="12" spans="4:22">
      <c r="D12" s="112" t="str">
        <f>"Valor Desc. (Bolsa - "&amp;'Validação de Dados'!H3&amp;")"")"</f>
        <v>Valor Desc. (Bolsa - agosto)")</v>
      </c>
      <c r="E12" s="112"/>
      <c r="F12" s="112"/>
      <c r="G12" s="112"/>
      <c r="H12" s="112"/>
      <c r="I12" s="45">
        <f>I11*$N$5</f>
        <v>0</v>
      </c>
      <c r="J12" s="49"/>
      <c r="Q12" s="51"/>
      <c r="R12" s="51"/>
      <c r="V12" s="47"/>
    </row>
    <row r="13" spans="4:22" ht="15" customHeight="1">
      <c r="D13" s="112" t="str">
        <f>"Dias Desconto (AT - "&amp;'Validação de Dados'!$H$3&amp;" - "&amp;'1. Painel'!$J$8&amp;" dias úteis)"</f>
        <v>Dias Desconto (AT - agosto - 21 dias úteis)</v>
      </c>
      <c r="E13" s="112"/>
      <c r="F13" s="112"/>
      <c r="G13" s="112"/>
      <c r="H13" s="112"/>
      <c r="I13" s="42">
        <f>SUM('1. Painel'!J12)</f>
        <v>0</v>
      </c>
      <c r="J13" s="49"/>
      <c r="K13" s="105" t="s">
        <v>32</v>
      </c>
      <c r="L13" s="105"/>
      <c r="M13" s="105"/>
      <c r="N13" s="53">
        <f>N11+(365*2 -1)</f>
        <v>47009</v>
      </c>
      <c r="Q13" s="51"/>
      <c r="R13" s="51"/>
    </row>
    <row r="14" spans="4:22">
      <c r="D14" s="112" t="str">
        <f>"Valor Desconto (AT - "&amp;'Validação de Dados'!$H$3&amp;" - "&amp;'1. Painel'!$J$8&amp;" dias úteis)"</f>
        <v>Valor Desconto (AT - agosto - 21 dias úteis)</v>
      </c>
      <c r="E14" s="112"/>
      <c r="F14" s="112"/>
      <c r="G14" s="112"/>
      <c r="H14" s="112"/>
      <c r="I14" s="45">
        <f>I13*$N$6</f>
        <v>0</v>
      </c>
      <c r="J14" s="49"/>
      <c r="K14" s="41"/>
      <c r="Q14" s="51"/>
      <c r="R14" s="51"/>
    </row>
    <row r="15" spans="4:22">
      <c r="I15" s="49"/>
      <c r="J15" s="49"/>
      <c r="K15" s="41"/>
      <c r="Q15" s="51"/>
      <c r="R15" s="51"/>
    </row>
    <row r="16" spans="4:22" ht="24.75">
      <c r="D16" s="101" t="s">
        <v>33</v>
      </c>
      <c r="E16" s="102"/>
      <c r="F16" s="102"/>
      <c r="G16" s="102"/>
      <c r="H16" s="102"/>
      <c r="I16" s="103"/>
      <c r="K16" s="41"/>
    </row>
    <row r="17" spans="4:11" ht="16.5">
      <c r="D17" s="109" t="s">
        <v>34</v>
      </c>
      <c r="E17" s="110"/>
      <c r="F17" s="110"/>
      <c r="G17" s="110"/>
      <c r="H17" s="111"/>
      <c r="I17" s="43">
        <f>SUM(I6,I12)</f>
        <v>765.11399999999992</v>
      </c>
      <c r="K17" s="41"/>
    </row>
    <row r="18" spans="4:11" ht="16.5">
      <c r="D18" s="109" t="s">
        <v>35</v>
      </c>
      <c r="E18" s="110"/>
      <c r="F18" s="110"/>
      <c r="G18" s="110"/>
      <c r="H18" s="111"/>
      <c r="I18" s="43">
        <f>SUM(I8,I14)</f>
        <v>121.5</v>
      </c>
      <c r="K18" s="41"/>
    </row>
    <row r="19" spans="4:11">
      <c r="D19" s="98" t="s">
        <v>36</v>
      </c>
      <c r="E19" s="99"/>
      <c r="F19" s="99"/>
      <c r="G19" s="99"/>
      <c r="H19" s="100"/>
      <c r="I19" s="43">
        <f>SUM(I18,I17)</f>
        <v>886.61399999999992</v>
      </c>
      <c r="K19" s="41"/>
    </row>
    <row r="20" spans="4:11">
      <c r="E20" s="49"/>
      <c r="F20" s="49"/>
      <c r="G20" s="49"/>
      <c r="I20" s="41"/>
    </row>
    <row r="21" spans="4:11" ht="24.75">
      <c r="D21" s="115" t="s">
        <v>37</v>
      </c>
      <c r="E21" s="115"/>
      <c r="F21" s="115"/>
      <c r="G21" s="115"/>
      <c r="H21" s="115"/>
      <c r="I21" s="115"/>
    </row>
    <row r="22" spans="4:11">
      <c r="D22" s="113" t="s">
        <v>38</v>
      </c>
      <c r="E22" s="113"/>
      <c r="F22" s="113"/>
      <c r="G22" s="113"/>
      <c r="H22" s="113"/>
      <c r="I22" s="45">
        <f>$N$4-I17</f>
        <v>874.41600000000005</v>
      </c>
    </row>
    <row r="23" spans="4:11">
      <c r="D23" s="113" t="str">
        <f>"Valor a Receber (Aux-Transp. - "&amp;'1. Painel'!J7&amp;" DIAS ÚTEIS)"</f>
        <v>Valor a Receber (Aux-Transp. - 21 DIAS ÚTEIS)</v>
      </c>
      <c r="E23" s="113"/>
      <c r="F23" s="113"/>
      <c r="G23" s="113"/>
      <c r="H23" s="113"/>
      <c r="I23" s="45">
        <f>($N$6*'1. Painel'!$J$7)-I18</f>
        <v>162</v>
      </c>
    </row>
    <row r="24" spans="4:11">
      <c r="D24" s="113" t="s">
        <v>39</v>
      </c>
      <c r="E24" s="113"/>
      <c r="F24" s="113"/>
      <c r="G24" s="113"/>
      <c r="H24" s="113"/>
      <c r="I24" s="52">
        <f>SUM(I22,I23)</f>
        <v>1036.4160000000002</v>
      </c>
    </row>
  </sheetData>
  <sheetProtection algorithmName="SHA-512" hashValue="7JYrtcDvQaefvo9hqOISJ2Sf2DTSK1W8iZgCIBZ6bP5SCJ2IucwhCchbArYg+UWhnj9yu1lFrYCYELBllNOv6A==" saltValue="05p4jRIjxFtQMN5eW408QA==" spinCount="100000" sheet="1" selectLockedCells="1" selectUnlockedCells="1"/>
  <mergeCells count="26">
    <mergeCell ref="K8:M8"/>
    <mergeCell ref="D22:H22"/>
    <mergeCell ref="D23:H23"/>
    <mergeCell ref="D24:H24"/>
    <mergeCell ref="D10:I10"/>
    <mergeCell ref="D21:I21"/>
    <mergeCell ref="D11:H11"/>
    <mergeCell ref="D18:H18"/>
    <mergeCell ref="D12:H12"/>
    <mergeCell ref="D13:H13"/>
    <mergeCell ref="D1:N2"/>
    <mergeCell ref="D19:H19"/>
    <mergeCell ref="D16:I16"/>
    <mergeCell ref="K11:M11"/>
    <mergeCell ref="K13:M13"/>
    <mergeCell ref="D4:I4"/>
    <mergeCell ref="D17:H17"/>
    <mergeCell ref="D14:H14"/>
    <mergeCell ref="D5:H5"/>
    <mergeCell ref="D6:H6"/>
    <mergeCell ref="D7:H7"/>
    <mergeCell ref="D8:H8"/>
    <mergeCell ref="K4:M4"/>
    <mergeCell ref="K5:M5"/>
    <mergeCell ref="K6:M6"/>
    <mergeCell ref="K7:M7"/>
  </mergeCells>
  <conditionalFormatting sqref="D4:I8">
    <cfRule type="expression" dxfId="5" priority="7">
      <formula>EVEN(ROW()) = ROW()</formula>
    </cfRule>
  </conditionalFormatting>
  <conditionalFormatting sqref="D10:I14">
    <cfRule type="expression" dxfId="4" priority="6">
      <formula>EVEN(ROW()) = ROW()</formula>
    </cfRule>
  </conditionalFormatting>
  <conditionalFormatting sqref="D16:I19">
    <cfRule type="expression" dxfId="3" priority="5">
      <formula>EVEN(ROW()) = ROW()</formula>
    </cfRule>
  </conditionalFormatting>
  <conditionalFormatting sqref="D21:I24">
    <cfRule type="expression" dxfId="2" priority="3">
      <formula>ODD(ROW()) = ROW()</formula>
    </cfRule>
  </conditionalFormatting>
  <conditionalFormatting sqref="K4:N8">
    <cfRule type="expression" dxfId="1" priority="2">
      <formula>EVEN(ROW()) = ROW()</formula>
    </cfRule>
  </conditionalFormatting>
  <conditionalFormatting sqref="K11:N12">
    <cfRule type="expression" dxfId="0" priority="1">
      <formula>ODD(ROW()) = ROW()</formula>
    </cfRule>
  </conditionalFormatting>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11A09-6C07-4BF3-9F19-28FAFF116DBC}">
  <dimension ref="B1:H14"/>
  <sheetViews>
    <sheetView workbookViewId="0">
      <selection activeCell="D3" sqref="D3"/>
    </sheetView>
  </sheetViews>
  <sheetFormatPr defaultColWidth="9.140625" defaultRowHeight="15"/>
  <cols>
    <col min="1" max="1" width="9.140625" style="1"/>
    <col min="2" max="2" width="16.5703125" style="1" bestFit="1" customWidth="1"/>
    <col min="3" max="3" width="11.5703125" style="1" bestFit="1" customWidth="1"/>
    <col min="4" max="4" width="10.28515625" style="1" bestFit="1" customWidth="1"/>
    <col min="5" max="5" width="9.140625" style="1"/>
    <col min="6" max="6" width="22.5703125" style="1" bestFit="1" customWidth="1"/>
    <col min="7" max="7" width="11.7109375" style="1" hidden="1" customWidth="1"/>
    <col min="8" max="9" width="9.140625" style="1"/>
    <col min="10" max="10" width="12.85546875" style="1" bestFit="1" customWidth="1"/>
    <col min="11" max="14" width="10.28515625" style="1" bestFit="1" customWidth="1"/>
    <col min="15" max="16" width="9.140625" style="1"/>
    <col min="17" max="17" width="10.28515625" style="1" bestFit="1" customWidth="1"/>
    <col min="18" max="16384" width="9.140625" style="1"/>
  </cols>
  <sheetData>
    <row r="1" spans="2:8" ht="15.75" thickBot="1"/>
    <row r="2" spans="2:8" ht="15.75" thickBot="1">
      <c r="B2" s="2" t="s">
        <v>40</v>
      </c>
      <c r="C2" s="3" t="s">
        <v>41</v>
      </c>
      <c r="D2" s="4" t="s">
        <v>42</v>
      </c>
      <c r="F2" s="5" t="s">
        <v>43</v>
      </c>
      <c r="G2" s="6">
        <f>'1. Painel'!J6</f>
        <v>46266</v>
      </c>
      <c r="H2" s="7" t="str">
        <f>TEXT('1. Painel'!J6,"mmmm")</f>
        <v>setembro</v>
      </c>
    </row>
    <row r="3" spans="2:8" ht="15.75" thickBot="1">
      <c r="B3" s="8">
        <v>46023</v>
      </c>
      <c r="C3" s="9" t="s">
        <v>44</v>
      </c>
      <c r="D3" s="9">
        <f>'Feriados e Ptos Fac. Senado'!H2</f>
        <v>21</v>
      </c>
      <c r="F3" s="10" t="s">
        <v>45</v>
      </c>
      <c r="G3" s="11">
        <f>G2-1</f>
        <v>46265</v>
      </c>
      <c r="H3" s="12" t="str">
        <f>TEXT(G3,"mmmm")</f>
        <v>agosto</v>
      </c>
    </row>
    <row r="4" spans="2:8">
      <c r="B4" s="13">
        <v>46054</v>
      </c>
      <c r="C4" s="14" t="s">
        <v>46</v>
      </c>
      <c r="D4" s="14">
        <f>'Feriados e Ptos Fac. Senado'!H3</f>
        <v>17</v>
      </c>
    </row>
    <row r="5" spans="2:8">
      <c r="B5" s="8">
        <v>46082</v>
      </c>
      <c r="C5" s="14" t="s">
        <v>47</v>
      </c>
      <c r="D5" s="14">
        <f>'Feriados e Ptos Fac. Senado'!H4</f>
        <v>22</v>
      </c>
    </row>
    <row r="6" spans="2:8">
      <c r="B6" s="13">
        <v>46113</v>
      </c>
      <c r="C6" s="14" t="s">
        <v>48</v>
      </c>
      <c r="D6" s="14">
        <f>'Feriados e Ptos Fac. Senado'!H5</f>
        <v>18</v>
      </c>
    </row>
    <row r="7" spans="2:8">
      <c r="B7" s="8">
        <v>46143</v>
      </c>
      <c r="C7" s="14" t="s">
        <v>49</v>
      </c>
      <c r="D7" s="14">
        <f>'Feriados e Ptos Fac. Senado'!H6</f>
        <v>20</v>
      </c>
    </row>
    <row r="8" spans="2:8">
      <c r="B8" s="13">
        <v>46174</v>
      </c>
      <c r="C8" s="14" t="s">
        <v>50</v>
      </c>
      <c r="D8" s="14">
        <f>'Feriados e Ptos Fac. Senado'!H7</f>
        <v>19</v>
      </c>
    </row>
    <row r="9" spans="2:8">
      <c r="B9" s="8">
        <v>46204</v>
      </c>
      <c r="C9" s="14" t="s">
        <v>51</v>
      </c>
      <c r="D9" s="14">
        <f>'Feriados e Ptos Fac. Senado'!H8</f>
        <v>23</v>
      </c>
    </row>
    <row r="10" spans="2:8">
      <c r="B10" s="13">
        <v>46235</v>
      </c>
      <c r="C10" s="14" t="s">
        <v>52</v>
      </c>
      <c r="D10" s="14">
        <f>'Feriados e Ptos Fac. Senado'!H9</f>
        <v>21</v>
      </c>
    </row>
    <row r="11" spans="2:8">
      <c r="B11" s="8">
        <v>46266</v>
      </c>
      <c r="C11" s="14" t="s">
        <v>53</v>
      </c>
      <c r="D11" s="14">
        <f>'Feriados e Ptos Fac. Senado'!H10</f>
        <v>21</v>
      </c>
    </row>
    <row r="12" spans="2:8">
      <c r="B12" s="13">
        <v>46296</v>
      </c>
      <c r="C12" s="14" t="s">
        <v>54</v>
      </c>
      <c r="D12" s="14">
        <f>'Feriados e Ptos Fac. Senado'!H11</f>
        <v>20</v>
      </c>
    </row>
    <row r="13" spans="2:8">
      <c r="B13" s="8">
        <v>46327</v>
      </c>
      <c r="C13" s="14" t="s">
        <v>55</v>
      </c>
      <c r="D13" s="14">
        <f>'Feriados e Ptos Fac. Senado'!H12</f>
        <v>19</v>
      </c>
    </row>
    <row r="14" spans="2:8">
      <c r="B14" s="13">
        <v>46357</v>
      </c>
      <c r="C14" s="14" t="s">
        <v>56</v>
      </c>
      <c r="D14" s="14">
        <f>'Feriados e Ptos Fac. Senado'!H13</f>
        <v>20</v>
      </c>
    </row>
  </sheetData>
  <sheetProtection algorithmName="SHA-512" hashValue="ENyhAgLPQu4QEFpWu5OPVDlZvq3yJJsIjUP/n3Zp8zTXghPlZDDSefnn2ziDrvyaemn0wC5sRySE7KYx/LoObA==" saltValue="/wxrRlaw9jHF6b17gGdyyg==" spinCount="100000" sheet="1" objects="1" scenarios="1" selectLockedCells="1" selectUnlockedCells="1"/>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8AA3D-1E7E-470C-8D44-5183970CA040}">
  <dimension ref="A1:H13"/>
  <sheetViews>
    <sheetView workbookViewId="0">
      <selection activeCell="J15" sqref="J15:J17"/>
    </sheetView>
  </sheetViews>
  <sheetFormatPr defaultColWidth="9.28515625" defaultRowHeight="15"/>
  <cols>
    <col min="1" max="1" width="12.85546875" style="17" bestFit="1" customWidth="1"/>
    <col min="2" max="6" width="10.85546875" style="17" bestFit="1" customWidth="1"/>
    <col min="7" max="7" width="9.28515625" style="17"/>
    <col min="8" max="8" width="10.28515625" style="17" bestFit="1" customWidth="1"/>
    <col min="9" max="16384" width="9.28515625" style="17"/>
  </cols>
  <sheetData>
    <row r="1" spans="1:8" ht="15.75" thickBot="1">
      <c r="A1" s="15" t="s">
        <v>57</v>
      </c>
      <c r="B1" s="116" t="s">
        <v>58</v>
      </c>
      <c r="C1" s="116"/>
      <c r="D1" s="116"/>
      <c r="E1" s="116"/>
      <c r="F1" s="116"/>
      <c r="G1" s="116"/>
      <c r="H1" s="16" t="s">
        <v>42</v>
      </c>
    </row>
    <row r="2" spans="1:8">
      <c r="A2" s="18">
        <v>46023</v>
      </c>
      <c r="B2" s="19">
        <v>46023</v>
      </c>
      <c r="C2" s="9"/>
      <c r="D2" s="9"/>
      <c r="E2" s="9"/>
      <c r="F2" s="9"/>
      <c r="G2" s="9"/>
      <c r="H2" s="9">
        <f t="shared" ref="H2:H13" si="0">NETWORKDAYS(A2,EOMONTH(A2,0),B2:G2)</f>
        <v>21</v>
      </c>
    </row>
    <row r="3" spans="1:8">
      <c r="A3" s="20">
        <v>46054</v>
      </c>
      <c r="B3" s="21">
        <v>46069</v>
      </c>
      <c r="C3" s="21">
        <v>46070</v>
      </c>
      <c r="D3" s="21">
        <v>46071</v>
      </c>
      <c r="E3" s="14"/>
      <c r="F3" s="14"/>
      <c r="G3" s="14"/>
      <c r="H3" s="14">
        <f t="shared" si="0"/>
        <v>17</v>
      </c>
    </row>
    <row r="4" spans="1:8">
      <c r="A4" s="18">
        <v>46082</v>
      </c>
      <c r="B4" s="21"/>
      <c r="C4" s="21"/>
      <c r="D4" s="21"/>
      <c r="E4" s="14"/>
      <c r="F4" s="14"/>
      <c r="G4" s="14"/>
      <c r="H4" s="14">
        <f t="shared" si="0"/>
        <v>22</v>
      </c>
    </row>
    <row r="5" spans="1:8">
      <c r="A5" s="20">
        <v>46113</v>
      </c>
      <c r="B5" s="21">
        <v>46114</v>
      </c>
      <c r="C5" s="21">
        <v>46115</v>
      </c>
      <c r="D5" s="21">
        <v>46132</v>
      </c>
      <c r="E5" s="21">
        <v>46133</v>
      </c>
      <c r="F5" s="14"/>
      <c r="G5" s="14"/>
      <c r="H5" s="14">
        <f t="shared" si="0"/>
        <v>18</v>
      </c>
    </row>
    <row r="6" spans="1:8">
      <c r="A6" s="18">
        <v>46143</v>
      </c>
      <c r="B6" s="21">
        <v>46143</v>
      </c>
      <c r="C6" s="21"/>
      <c r="D6" s="21"/>
      <c r="E6" s="21"/>
      <c r="F6" s="14"/>
      <c r="G6" s="14"/>
      <c r="H6" s="14">
        <f t="shared" si="0"/>
        <v>20</v>
      </c>
    </row>
    <row r="7" spans="1:8">
      <c r="A7" s="20">
        <v>46174</v>
      </c>
      <c r="B7" s="21">
        <v>46177</v>
      </c>
      <c r="C7" s="21">
        <v>46178</v>
      </c>
      <c r="D7" s="21">
        <v>46202</v>
      </c>
      <c r="E7" s="21"/>
      <c r="F7" s="21"/>
      <c r="G7" s="14"/>
      <c r="H7" s="14">
        <f t="shared" si="0"/>
        <v>19</v>
      </c>
    </row>
    <row r="8" spans="1:8">
      <c r="A8" s="18">
        <v>46204</v>
      </c>
      <c r="B8" s="14"/>
      <c r="C8" s="14"/>
      <c r="D8" s="14"/>
      <c r="E8" s="14"/>
      <c r="F8" s="14"/>
      <c r="G8" s="14"/>
      <c r="H8" s="14">
        <f t="shared" si="0"/>
        <v>23</v>
      </c>
    </row>
    <row r="9" spans="1:8">
      <c r="A9" s="20">
        <v>46235</v>
      </c>
      <c r="B9" s="14"/>
      <c r="C9" s="14"/>
      <c r="D9" s="14"/>
      <c r="E9" s="14"/>
      <c r="F9" s="14"/>
      <c r="G9" s="14"/>
      <c r="H9" s="14">
        <f t="shared" si="0"/>
        <v>21</v>
      </c>
    </row>
    <row r="10" spans="1:8">
      <c r="A10" s="18">
        <v>46266</v>
      </c>
      <c r="B10" s="21">
        <v>46272</v>
      </c>
      <c r="C10" s="14"/>
      <c r="D10" s="14"/>
      <c r="E10" s="14"/>
      <c r="F10" s="14"/>
      <c r="G10" s="14"/>
      <c r="H10" s="14">
        <f t="shared" si="0"/>
        <v>21</v>
      </c>
    </row>
    <row r="11" spans="1:8">
      <c r="A11" s="20">
        <v>46296</v>
      </c>
      <c r="B11" s="21">
        <v>46307</v>
      </c>
      <c r="C11" s="21">
        <v>46323</v>
      </c>
      <c r="D11" s="14"/>
      <c r="E11" s="14"/>
      <c r="F11" s="14"/>
      <c r="G11" s="14"/>
      <c r="H11" s="14">
        <f t="shared" si="0"/>
        <v>20</v>
      </c>
    </row>
    <row r="12" spans="1:8">
      <c r="A12" s="18">
        <v>46327</v>
      </c>
      <c r="B12" s="21">
        <v>46328</v>
      </c>
      <c r="C12" s="21">
        <v>46341</v>
      </c>
      <c r="D12" s="21">
        <v>46346</v>
      </c>
      <c r="E12" s="21"/>
      <c r="F12" s="14"/>
      <c r="G12" s="14"/>
      <c r="H12" s="14">
        <f t="shared" si="0"/>
        <v>19</v>
      </c>
    </row>
    <row r="13" spans="1:8">
      <c r="A13" s="20">
        <v>46357</v>
      </c>
      <c r="B13" s="21">
        <v>46380</v>
      </c>
      <c r="C13" s="21">
        <v>46381</v>
      </c>
      <c r="D13" s="21">
        <v>46387</v>
      </c>
      <c r="E13" s="14"/>
      <c r="F13" s="14"/>
      <c r="G13" s="14"/>
      <c r="H13" s="14">
        <f t="shared" si="0"/>
        <v>20</v>
      </c>
    </row>
  </sheetData>
  <sheetProtection algorithmName="SHA-512" hashValue="1001ePN9XA3hn29ZZMObBi2hV7PaqQLpf27DInlZcfBaoaCCXKWQmK0bx4UQU3tRz8uNizx7IEbnGiWU5BfzXw==" saltValue="BI430wzroVAiGskBtLrMpQ==" spinCount="100000" sheet="1" objects="1" scenarios="1" selectLockedCells="1" selectUnlockedCells="1"/>
  <mergeCells count="1">
    <mergeCell ref="B1:G1"/>
  </mergeCell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6C5E3324E0BD14A8C3785C1F9755950" ma:contentTypeVersion="18" ma:contentTypeDescription="Crie um novo documento." ma:contentTypeScope="" ma:versionID="672cf4e0bb12b392fbd086c340606fe1">
  <xsd:schema xmlns:xsd="http://www.w3.org/2001/XMLSchema" xmlns:xs="http://www.w3.org/2001/XMLSchema" xmlns:p="http://schemas.microsoft.com/office/2006/metadata/properties" xmlns:ns2="3c7e2db8-de46-4aee-9d7c-1855f18e6b09" xmlns:ns3="18296120-d7ee-4587-a51a-f5e0053f25c6" targetNamespace="http://schemas.microsoft.com/office/2006/metadata/properties" ma:root="true" ma:fieldsID="0325e66511966e020aa04c4bda7daa1e" ns2:_="" ns3:_="">
    <xsd:import namespace="3c7e2db8-de46-4aee-9d7c-1855f18e6b09"/>
    <xsd:import namespace="18296120-d7ee-4587-a51a-f5e0053f25c6"/>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SearchProperties" minOccurs="0"/>
                <xsd:element ref="ns2:MediaServiceObjectDetectorVersion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7e2db8-de46-4aee-9d7c-1855f18e6b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d2bda3a4-2e47-4d17-9188-24fd44e02579"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296120-d7ee-4587-a51a-f5e0053f25c6" elementFormDefault="qualified">
    <xsd:import namespace="http://schemas.microsoft.com/office/2006/documentManagement/types"/>
    <xsd:import namespace="http://schemas.microsoft.com/office/infopath/2007/PartnerControls"/>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29cd838e-63b0-4d23-8aaa-4ef2786df849}" ma:internalName="TaxCatchAll" ma:showField="CatchAllData" ma:web="18296120-d7ee-4587-a51a-f5e0053f25c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7e2db8-de46-4aee-9d7c-1855f18e6b09">
      <Terms xmlns="http://schemas.microsoft.com/office/infopath/2007/PartnerControls"/>
    </lcf76f155ced4ddcb4097134ff3c332f>
    <TaxCatchAll xmlns="18296120-d7ee-4587-a51a-f5e0053f25c6" xsi:nil="true"/>
  </documentManagement>
</p:properties>
</file>

<file path=customXml/itemProps1.xml><?xml version="1.0" encoding="utf-8"?>
<ds:datastoreItem xmlns:ds="http://schemas.openxmlformats.org/officeDocument/2006/customXml" ds:itemID="{822A5595-9D1C-421E-87E0-CF96B1BEB8C1}"/>
</file>

<file path=customXml/itemProps2.xml><?xml version="1.0" encoding="utf-8"?>
<ds:datastoreItem xmlns:ds="http://schemas.openxmlformats.org/officeDocument/2006/customXml" ds:itemID="{4D020F6E-1BED-4B59-B412-DFA49734C85E}"/>
</file>

<file path=customXml/itemProps3.xml><?xml version="1.0" encoding="utf-8"?>
<ds:datastoreItem xmlns:ds="http://schemas.openxmlformats.org/officeDocument/2006/customXml" ds:itemID="{095B2886-9BB7-479A-9291-911253CEDEEC}"/>
</file>

<file path=docProps/app.xml><?xml version="1.0" encoding="utf-8"?>
<Properties xmlns="http://schemas.openxmlformats.org/officeDocument/2006/extended-properties" xmlns:vt="http://schemas.openxmlformats.org/officeDocument/2006/docPropsVTypes">
  <Application>Microsoft Excel Online</Application>
  <Manager/>
  <Company>Senado Federal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Matheus Estevam Lima Rocha</dc:creator>
  <cp:keywords/>
  <dc:description/>
  <cp:lastModifiedBy/>
  <cp:revision/>
  <dcterms:created xsi:type="dcterms:W3CDTF">2025-05-28T13:15:19Z</dcterms:created>
  <dcterms:modified xsi:type="dcterms:W3CDTF">2026-10-18T20:02:49Z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0x010100B6C5E3324E0BD14A8C3785C1F9755950</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_activity">
    <vt:lpwstr>{"FileActivityType":"9","FileActivityTimeStamp":"2025-06-06T15:23:11.567Z","FileActivityUsersOnPage":[{"DisplayName":"Matheus Estevam Lima Rocha","Id":"matheus.estevam@senado.leg.br"},{"DisplayName":"Luiz Fernando Ribeiro Gonçalves Filho","Id":"luiz.filho@senado.leg.br"}],"FileActivityNavigationId":null}</vt:lpwstr>
  </property>
  <property fmtid="{D5CDD505-2E9C-101B-9397-08002B2CF9AE}" pid="7" name="TriggerFlowInfo">
    <vt:lpwstr/>
  </property>
</Properties>
</file>